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8300" firstSheet="1" activeTab="2"/>
  </bookViews>
  <sheets>
    <sheet name="Orders" sheetId="3" r:id="rId1"/>
    <sheet name="Map" sheetId="2" r:id="rId2"/>
    <sheet name="Loan" sheetId="1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1" i="1"/>
  <c r="D8" i="1" l="1"/>
  <c r="D9" i="1"/>
  <c r="D10" i="1"/>
  <c r="D11" i="1"/>
  <c r="D12" i="1"/>
  <c r="D13" i="1"/>
  <c r="D14" i="1"/>
  <c r="D15" i="1"/>
  <c r="D16" i="1"/>
  <c r="D17" i="1"/>
  <c r="D18" i="1"/>
  <c r="D7" i="1"/>
  <c r="E7" i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C8" i="1"/>
  <c r="C9" i="1"/>
  <c r="C10" i="1"/>
  <c r="C11" i="1"/>
  <c r="C12" i="1"/>
  <c r="C13" i="1"/>
  <c r="C14" i="1"/>
  <c r="C15" i="1"/>
  <c r="C16" i="1"/>
  <c r="C17" i="1"/>
  <c r="C18" i="1"/>
  <c r="C7" i="1"/>
  <c r="E17" i="3"/>
  <c r="E16" i="3"/>
  <c r="I3" i="3" a="1"/>
  <c r="I3" i="3"/>
  <c r="I4" i="3" a="1"/>
  <c r="I4" i="3"/>
  <c r="I5" i="3" a="1"/>
  <c r="I5" i="3"/>
  <c r="I6" i="3" a="1"/>
  <c r="I6" i="3"/>
  <c r="I7" i="3" a="1"/>
  <c r="I7" i="3"/>
  <c r="I8" i="3" a="1"/>
  <c r="I8" i="3"/>
  <c r="I9" i="3" a="1"/>
  <c r="I9" i="3"/>
  <c r="I10" i="3" a="1"/>
  <c r="I10" i="3"/>
  <c r="I11" i="3" a="1"/>
  <c r="I11" i="3"/>
  <c r="I12" i="3" a="1"/>
  <c r="I12" i="3"/>
  <c r="I2" i="3" a="1"/>
  <c r="I2" i="3"/>
  <c r="C3" i="3" a="1"/>
  <c r="C3" i="3"/>
  <c r="C4" i="3" a="1"/>
  <c r="C4" i="3"/>
  <c r="C5" i="3" a="1"/>
  <c r="C5" i="3"/>
  <c r="C6" i="3" a="1"/>
  <c r="C6" i="3"/>
  <c r="C7" i="3" a="1"/>
  <c r="C7" i="3"/>
  <c r="C8" i="3" a="1"/>
  <c r="C8" i="3"/>
  <c r="C9" i="3" a="1"/>
  <c r="C9" i="3"/>
  <c r="C10" i="3" a="1"/>
  <c r="C10" i="3"/>
  <c r="C11" i="3" a="1"/>
  <c r="C11" i="3"/>
  <c r="C12" i="3" a="1"/>
  <c r="C12" i="3"/>
  <c r="C2" i="3" a="1"/>
  <c r="C2" i="3"/>
  <c r="B3" i="1"/>
  <c r="A9" i="1"/>
  <c r="A10" i="1"/>
  <c r="A11" i="1"/>
  <c r="A12" i="1"/>
  <c r="A13" i="1"/>
  <c r="A14" i="1"/>
  <c r="A15" i="1"/>
  <c r="A16" i="1"/>
  <c r="A17" i="1"/>
  <c r="A18" i="1"/>
  <c r="A8" i="1"/>
  <c r="E15" i="3"/>
  <c r="C15" i="3"/>
  <c r="C16" i="3"/>
  <c r="C17" i="3"/>
  <c r="J3" i="3"/>
  <c r="J4" i="3"/>
  <c r="J5" i="3"/>
  <c r="J6" i="3"/>
  <c r="J7" i="3"/>
  <c r="J8" i="3"/>
  <c r="J9" i="3"/>
  <c r="J10" i="3"/>
  <c r="J11" i="3"/>
  <c r="J12" i="3"/>
  <c r="G3" i="3"/>
  <c r="G4" i="3"/>
  <c r="G5" i="3"/>
  <c r="G6" i="3"/>
  <c r="G7" i="3"/>
  <c r="G8" i="3"/>
  <c r="G9" i="3"/>
  <c r="G10" i="3"/>
  <c r="G11" i="3"/>
  <c r="G12" i="3"/>
  <c r="G2" i="3"/>
  <c r="D3" i="3"/>
  <c r="D4" i="3"/>
  <c r="D5" i="3"/>
  <c r="D6" i="3"/>
  <c r="D7" i="3"/>
  <c r="D8" i="3"/>
  <c r="D9" i="3"/>
  <c r="D10" i="3"/>
  <c r="D11" i="3"/>
  <c r="D12" i="3"/>
  <c r="D2" i="3"/>
  <c r="B15" i="3" l="1"/>
  <c r="B17" i="3"/>
  <c r="B16" i="3"/>
  <c r="J2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<sst xmlns="http://schemas.openxmlformats.org/spreadsheetml/2006/main" count="64" uniqueCount="41">
  <si>
    <t>Model</t>
  </si>
  <si>
    <t>Code</t>
  </si>
  <si>
    <t>Pay Status</t>
  </si>
  <si>
    <t>Weekday Ordered</t>
  </si>
  <si>
    <t>Date Ordered</t>
  </si>
  <si>
    <t>Date Received</t>
  </si>
  <si>
    <t>Days</t>
  </si>
  <si>
    <t>Price</t>
  </si>
  <si>
    <t>Store Credit</t>
  </si>
  <si>
    <t>Thank-You Gift</t>
  </si>
  <si>
    <t>Luxury</t>
  </si>
  <si>
    <t>PD</t>
  </si>
  <si>
    <t>Serenity</t>
  </si>
  <si>
    <t>Bubbles</t>
  </si>
  <si>
    <t>CR</t>
  </si>
  <si>
    <t>Avg Days</t>
  </si>
  <si>
    <t># Ordered</t>
  </si>
  <si>
    <t>Summary</t>
  </si>
  <si>
    <t>Credit</t>
  </si>
  <si>
    <t>Days Over</t>
  </si>
  <si>
    <t>Highest Price</t>
  </si>
  <si>
    <t>Average Price</t>
  </si>
  <si>
    <t>Lowest Price</t>
  </si>
  <si>
    <t>Total Annual Sales</t>
  </si>
  <si>
    <t>State</t>
  </si>
  <si>
    <t># Hot Tubs</t>
  </si>
  <si>
    <t>California</t>
  </si>
  <si>
    <t>Texas</t>
  </si>
  <si>
    <t>Florida</t>
  </si>
  <si>
    <t>Illinois</t>
  </si>
  <si>
    <t>New York</t>
  </si>
  <si>
    <t>Total Interest</t>
  </si>
  <si>
    <t>Term: Months</t>
  </si>
  <si>
    <t>Princ. 6 month</t>
  </si>
  <si>
    <t>APR</t>
  </si>
  <si>
    <t>Monthly Pmt</t>
  </si>
  <si>
    <t>Pmt Due Date</t>
  </si>
  <si>
    <t>Payment #</t>
  </si>
  <si>
    <t>Interest</t>
  </si>
  <si>
    <t>Principal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</si>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</sst>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dd"/>
    <numFmt numFmtId="168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D4D4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9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2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2" fillId="0" borderId="0"/>
  </cellStyleXfs>
  <cellXfs count="36">
    <xf numFmtId="0" fontId="0" fillId="0" borderId="0" xfId="0"/>
    <xf numFmtId="0" fontId="0" fillId="0" borderId="5" xfId="0" applyBorder="1"/>
    <xf numFmtId="0" fontId="5" fillId="2" borderId="7" xfId="3" applyBorder="1"/>
    <xf numFmtId="0" fontId="5" fillId="2" borderId="2" xfId="3" applyBorder="1"/>
    <xf numFmtId="0" fontId="0" fillId="0" borderId="0" xfId="0"/>
    <xf numFmtId="10" fontId="0" fillId="0" borderId="0" xfId="0" applyNumberFormat="1"/>
    <xf numFmtId="14" fontId="0" fillId="0" borderId="0" xfId="0" applyNumberFormat="1"/>
    <xf numFmtId="166" fontId="0" fillId="0" borderId="0" xfId="1" applyNumberFormat="1" applyFont="1"/>
    <xf numFmtId="167" fontId="0" fillId="0" borderId="0" xfId="0" applyNumberFormat="1" applyAlignment="1">
      <alignment horizontal="left"/>
    </xf>
    <xf numFmtId="0" fontId="5" fillId="2" borderId="0" xfId="3"/>
    <xf numFmtId="0" fontId="3" fillId="3" borderId="0" xfId="4" applyFont="1"/>
    <xf numFmtId="0" fontId="4" fillId="2" borderId="0" xfId="3" applyFont="1"/>
    <xf numFmtId="10" fontId="0" fillId="4" borderId="0" xfId="0" applyNumberFormat="1" applyFill="1"/>
    <xf numFmtId="164" fontId="0" fillId="4" borderId="0" xfId="2" applyFont="1" applyFill="1"/>
    <xf numFmtId="0" fontId="0" fillId="4" borderId="0" xfId="0" applyFill="1" applyAlignment="1">
      <alignment horizontal="right" indent="4"/>
    </xf>
    <xf numFmtId="166" fontId="0" fillId="4" borderId="0" xfId="1" applyNumberFormat="1" applyFont="1" applyFill="1"/>
    <xf numFmtId="0" fontId="0" fillId="0" borderId="0" xfId="0" applyAlignment="1">
      <alignment horizontal="center"/>
    </xf>
    <xf numFmtId="168" fontId="0" fillId="0" borderId="0" xfId="2" applyNumberFormat="1" applyFont="1"/>
    <xf numFmtId="0" fontId="5" fillId="2" borderId="0" xfId="3" applyAlignment="1">
      <alignment horizontal="center"/>
    </xf>
    <xf numFmtId="0" fontId="4" fillId="2" borderId="1" xfId="3" applyFont="1" applyBorder="1"/>
    <xf numFmtId="0" fontId="0" fillId="0" borderId="3" xfId="0" applyBorder="1" applyAlignment="1">
      <alignment horizontal="center"/>
    </xf>
    <xf numFmtId="168" fontId="0" fillId="0" borderId="4" xfId="2" applyNumberFormat="1" applyFont="1" applyBorder="1"/>
    <xf numFmtId="0" fontId="0" fillId="0" borderId="5" xfId="0" applyBorder="1" applyAlignment="1">
      <alignment horizontal="center"/>
    </xf>
    <xf numFmtId="168" fontId="0" fillId="0" borderId="6" xfId="2" applyNumberFormat="1" applyFont="1" applyBorder="1"/>
    <xf numFmtId="0" fontId="5" fillId="2" borderId="1" xfId="3" applyBorder="1"/>
    <xf numFmtId="0" fontId="5" fillId="2" borderId="2" xfId="3" applyBorder="1" applyAlignment="1">
      <alignment horizontal="center"/>
    </xf>
    <xf numFmtId="0" fontId="0" fillId="0" borderId="3" xfId="0" applyBorder="1"/>
    <xf numFmtId="0" fontId="0" fillId="0" borderId="0" xfId="0" applyAlignment="1">
      <alignment wrapText="1"/>
    </xf>
    <xf numFmtId="1" fontId="0" fillId="0" borderId="0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64" fontId="0" fillId="4" borderId="0" xfId="2" applyNumberFormat="1" applyFont="1" applyFill="1"/>
    <xf numFmtId="164" fontId="0" fillId="4" borderId="0" xfId="2" applyNumberFormat="1" applyFont="1" applyFill="1" applyAlignment="1">
      <alignment horizontal="center"/>
    </xf>
    <xf numFmtId="14" fontId="0" fillId="4" borderId="0" xfId="2" applyNumberFormat="1" applyFont="1" applyFill="1" applyAlignment="1">
      <alignment horizontal="left" indent="1"/>
    </xf>
    <xf numFmtId="164" fontId="1" fillId="4" borderId="0" xfId="2" applyFont="1" applyFill="1" applyAlignment="1">
      <alignment wrapText="1"/>
    </xf>
    <xf numFmtId="0" fontId="6" fillId="0" borderId="0" xfId="0" applyFont="1"/>
    <xf numFmtId="14" fontId="0" fillId="4" borderId="0" xfId="0" applyNumberFormat="1" applyFill="1" applyAlignment="1">
      <alignment horizontal="left" indent="1"/>
    </xf>
  </cellXfs>
  <cellStyles count="29">
    <cellStyle name="/H0bdstXvwjlfCq0+S46r0ijX5jFCO4j668yioLV7q8rUvL7m3GqPz2Dl5SWdu5fA/p6D1VvQpuyc0LlJB0mJ8JTQlW/m1+N-~P/DTZSCZjXJXQBTcsVIdHg==" xfId="21"/>
    <cellStyle name="40% - Accent1" xfId="4" builtinId="31"/>
    <cellStyle name="4BjPU0WC4ki4J+INwamA/Ygp9u4x/RwYIE9m4P4j9yZPifLZ/C1gSwCNdYaasq20O5YbCsAaWyjGfVb/j+L9mhQ0wtJTpxlA-~SOTJDINApq18imDZsYMqyA==" xfId="8"/>
    <cellStyle name="71oRkfxkNyTe7//llbpdwaf5dhXDU5+8UdnRRIiA1p9mS18wyUGqDL28arEwMiHVyIEry41laD0REFeLg1zgvcvrQvTh/72y-~O2V6aLzz4vrfGBMcuXkLqQ==" xfId="15"/>
    <cellStyle name="Accent1" xfId="3" builtinId="29"/>
    <cellStyle name="cLBJNM+PFZgqzwgjBjiVtijkFqXlS2FAXK9agPrkMkvm3ock6KwQPY7MwEJZwNSL1qnw1GGULloXVwO31ERS5Z9xfHNqPnlQ-~NA0Q4Xn6w/F1NQNocrwN1Q==" xfId="27"/>
    <cellStyle name="Comma" xfId="1" builtinId="3"/>
    <cellStyle name="Currency" xfId="2" builtinId="4"/>
    <cellStyle name="dFmnpykaTnmv1NZrRhl7ejWTDQ/LTgix+51F6ypeprPwoT4iJla+Tmk4GpfHKlvJqsUeiGPErig2viCIJ2hxOh7pYc0jHKMb-~UL1XM36f8yanVCjsteDlEQ==" xfId="24"/>
    <cellStyle name="ef96FNuN7dvydmunZSPyJr/cNh5AvQ3+mS4/Dd2hdVCT3XmZgUN45cOGoPJ4VgucD3nQVilpSnjc42WDeGJcN+xQ+WF7RXx2-~iR0KyjKFGElidHC6m0Erug==" xfId="7"/>
    <cellStyle name="esZN2CpFtTdcsvuExcuXljK92gvI+ltgbFLx65AqY21TyLDONO7mgzQ0cS8zCv35sCeHlgB6pWXbwsIQtVG72DVTUG7+6+TP-~097r3B6tcAvJypN32ZpJAw==" xfId="22"/>
    <cellStyle name="fnv5JXSHXTP/gv/QRvMBOTxqPEoKhcOeDUIM7u0M4YgzVmYZPM7t6zR74v7OBCW4pCeZKf99UUze8lweiXIOvGkDoPlPY7SV-~Ku9DkuoKzzr/EMygQLlwag==" xfId="20"/>
    <cellStyle name="I5VoGPFZp2tn6JlqU1OBSNHfHJpQzpa7VpJN+Q9Xda0Iz75sfJ/bQSili0p09NznNwcwlbisoy7Aqh31SblhgXpzfimZsJ7d-~9IF9E9Xo7J5CsHNka+6ijg==" xfId="17"/>
    <cellStyle name="IAWGCDZevX1j8bpsRJzKmvI2YT1oDBx6VtfbHjnp6DILxfD2LrHYxS19plsozoO8PZuRCL4Hh+7FEZpBItlX9RLFr2nWY0CQ-~HvdpscnGC96uXrutRIA01A==" xfId="28"/>
    <cellStyle name="iay+xhwREnpErJhtyrf2HMFY7UQ7uP3L4HkUrXCg4eS1Rg46d9IeRJUUBwVY/6KNEo7+SrYj62Q7v86kVvvKD2N4ydzRJ/xc-~AVE4N4f8nq2B/pOZd+bmZA==" xfId="19"/>
    <cellStyle name="lFbIAYLZnV+GH3QT40LmxnOXD+RYLYlkmnfzn1WzY9gJU7qkTFuidfRaFGg2LZ9xQR8Eb3Vde9C8zaWyr07eKAtV6gn05rCL-~qWeaXVoi22gMckb1o89MPQ==" xfId="9"/>
    <cellStyle name="LgnEbTlNARJZJ2kofbs+/xJUhqk57p495dypxsEfI8qY/UpxeFNeM3sc8eVhi0pWgLQhFvYzEla2u+TiegspwKQJNvjG+Sia-~xQIYCshoD5MwtoG+bUdS4g==" xfId="5"/>
    <cellStyle name="NMl63iidKoIKZmliQ8U7AZu+kY5o5nO/+iiYaucHs73QUWAJG4HKy+wxHfs85WMjQm5L1mG/I/jcw4GVXTTg3eccbkwi4Gw8-~KKc3a9nINMIu7Elvi9pBNA==" xfId="12"/>
    <cellStyle name="Normal" xfId="0" builtinId="0"/>
    <cellStyle name="o0WePtketa/2sXamZGv+94PVI1wEKyL6MarwEU6bihAnzke+wlWZNIAcilgUFVf84okwZWabc4VtU5f3SWx3k0cmSx8FDvyv-~gMTThzu3HIGnTH2Z6RUiqQ==" xfId="11"/>
    <cellStyle name="ppGyolX41XEH3eDgDZcQxdZqkSaE3AyNX/sLBQnYgXX8/p9WhYg0pY+4+CEpk21+4OCT1TZ7/r+OvskLIDD9TZL/fWHeWmBU-~7aNvtja9BaQ2wLjCHbxMXw==" xfId="13"/>
    <cellStyle name="pPYOxTBo1hiSC2as5rN2GQ9ObyRbFPaQ7cfeYNPajofgroBzUVZc6p0mEp67YCnikLsau8+K9X4+xVP604BChTVN0RIhSbuZ-~l0L81K8Z1DtI6NC+RQ9wRg==" xfId="14"/>
    <cellStyle name="qc1FF4bUczLUCvYq7up7ypuYtcVhbi4TNss/EhHOh5lF4aPRm/CZX/IdiiSURoX6Bt0Pns/ZVO6rh5srJ3jwnv5xqMcYSCVF-~D3CfgcVmj7vNjCsD7JH59A==" xfId="23"/>
    <cellStyle name="qGHPVuZdWzghCUKQ5AC1VP/fGCZUdKZJMZtc5lO6oP9D+lN90oFXEDvgeESoxddZEIO1SBAcPQ73MjuDEAnFqkjQP4Q7frsw-~P+OoIjxEIgqBxrfHC2NdJg==" xfId="16"/>
    <cellStyle name="sKg6h5TrxHIrFsfw4DaTEXnxXYoz8ywfQq6WLrYjgsUWrNkwvIg3tEeYVkYPj3roFXEGahvvRtuu5feHHiJRe54byKa3Kv7O-~xGcqsUREcIPjCC2IU3q4Ew==" xfId="10"/>
    <cellStyle name="sVGN2qgWqfjmyNhfn974mdnHzBYiz1xzco7pg34gMBiNjSRFxZWOn4SHYzJl5Ut8nVYsUZOfzXqeW6lkVaOY6A1ZTYh8lGVM-~dw1XYCRGNTNlpK8TthG8pw==" xfId="26"/>
    <cellStyle name="UHLgRRt37cfk19Xm+S0mTsmLcdnYYOf2RUX6YQaglUCAwHPeKF31nJObxV55c8UOwOy4DXQTYYHSr7OoOKzTHXrwR23NRDor-~Hl9LZL5yOJ2TlGLtS+b64Q==" xfId="25"/>
    <cellStyle name="ViuxCfK3kym5mj9WZDk/mOf4oUReijJfubYAwj7ugYkl8jOzxwrwnAWvSx/8lmIJ99I0VAwOKDAZ6orcDRUGo98EiAaQ83Ah-~rJgxDKXoRsrFvQ7PfEVMyA==" xfId="6"/>
    <cellStyle name="Y+U9XHkL2orZLc52cBYFmmHpygOVSupuSx9QUTL497xlx3UtHHu4Rbmf1UTw9y1wE9+2QQAvYZyRzL//37fZt5916iF/R3cV-~+saD1wk1KwXgTPc5Pxt9IQ==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opLeftCell="A3" workbookViewId="0">
      <selection activeCell="E18" sqref="E18"/>
    </sheetView>
  </sheetViews>
  <sheetFormatPr defaultRowHeight="14.5" x14ac:dyDescent="0.35"/>
  <cols>
    <col min="1" max="1" width="9.7265625" customWidth="1"/>
    <col min="2" max="2" width="8.54296875" customWidth="1"/>
    <col min="3" max="3" width="11.7265625" customWidth="1"/>
    <col min="4" max="4" width="24.1796875" bestFit="1" customWidth="1"/>
    <col min="5" max="5" width="26.1796875" bestFit="1" customWidth="1"/>
    <col min="6" max="6" width="36.54296875" bestFit="1" customWidth="1"/>
    <col min="7" max="7" width="8.26953125" customWidth="1"/>
    <col min="8" max="8" width="9.81640625" customWidth="1"/>
    <col min="9" max="9" width="26" bestFit="1" customWidth="1"/>
    <col min="10" max="10" width="36.54296875" bestFit="1" customWidth="1"/>
  </cols>
  <sheetData>
    <row r="1" spans="1:10" x14ac:dyDescent="0.35">
      <c r="A1" s="9" t="s">
        <v>0</v>
      </c>
      <c r="B1" s="1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8" t="s">
        <v>6</v>
      </c>
      <c r="H1" s="18" t="s">
        <v>7</v>
      </c>
      <c r="I1" s="18" t="s">
        <v>8</v>
      </c>
      <c r="J1" s="9" t="s">
        <v>9</v>
      </c>
    </row>
    <row r="2" spans="1:10" x14ac:dyDescent="0.35">
      <c r="A2" s="4" t="s">
        <v>10</v>
      </c>
      <c r="B2" s="16" t="s">
        <v>11</v>
      </c>
      <c r="C2" s="4" t="str" cm="1">
        <f t="array" ref="C2">_xlfn.SWITCH(B2,"PD","Paid in Full","CR","Credit")</f>
        <v>Paid in Full</v>
      </c>
      <c r="D2" s="8">
        <f>WEEKDAY(E2)</f>
        <v>2</v>
      </c>
      <c r="E2" s="6">
        <v>45397</v>
      </c>
      <c r="F2" s="6">
        <v>45468</v>
      </c>
      <c r="G2" s="16">
        <f>_xlfn.DAYS(F2,E2)</f>
        <v>71</v>
      </c>
      <c r="H2" s="17">
        <v>15000</v>
      </c>
      <c r="I2" s="17" cm="1">
        <f t="array" ref="I2">_xlfn.IFS(G2&gt;H$15,I$15,G2&gt;H$16,I$16,TRUE,0)</f>
        <v>100</v>
      </c>
      <c r="J2" s="27" t="str">
        <f>IF(AND(OR(A2="Luxury", A2="Serenity"), C2="Paid in Full"),"Send Gift Basket", "")</f>
        <v>Send Gift Basket</v>
      </c>
    </row>
    <row r="3" spans="1:10" x14ac:dyDescent="0.35">
      <c r="A3" s="4" t="s">
        <v>12</v>
      </c>
      <c r="B3" s="16" t="s">
        <v>11</v>
      </c>
      <c r="C3" s="4" t="str" cm="1">
        <f t="array" ref="C3">_xlfn.SWITCH(B3,"PD","Paid in Full","CR","Credit")</f>
        <v>Paid in Full</v>
      </c>
      <c r="D3" s="8">
        <f t="shared" ref="D3:D12" si="0">WEEKDAY(E3)</f>
        <v>4</v>
      </c>
      <c r="E3" s="6">
        <v>45399</v>
      </c>
      <c r="F3" s="6">
        <v>45432</v>
      </c>
      <c r="G3" s="16">
        <f t="shared" ref="G3:G12" si="1">_xlfn.DAYS(F3,E3)</f>
        <v>33</v>
      </c>
      <c r="H3" s="17">
        <v>12900</v>
      </c>
      <c r="I3" s="17" cm="1">
        <f t="array" ref="I3">_xlfn.IFS(G3&gt;H$15,I$15,G3&gt;H$16,I$16,TRUE,0)</f>
        <v>0</v>
      </c>
      <c r="J3" s="27" t="str">
        <f t="shared" ref="J3:J12" si="2">IF(AND(OR(A3="Luxury", A3="Serenity"), C3="Paid in Full"),"Send Gift Basket", "")</f>
        <v>Send Gift Basket</v>
      </c>
    </row>
    <row r="4" spans="1:10" x14ac:dyDescent="0.35">
      <c r="A4" s="4" t="s">
        <v>13</v>
      </c>
      <c r="B4" s="16" t="s">
        <v>14</v>
      </c>
      <c r="C4" s="4" t="str" cm="1">
        <f t="array" ref="C4">_xlfn.SWITCH(B4,"PD","Paid in Full","CR","Credit")</f>
        <v>Credit</v>
      </c>
      <c r="D4" s="8">
        <f t="shared" si="0"/>
        <v>6</v>
      </c>
      <c r="E4" s="6">
        <v>45387</v>
      </c>
      <c r="F4" s="6">
        <v>45415</v>
      </c>
      <c r="G4" s="16">
        <f t="shared" si="1"/>
        <v>28</v>
      </c>
      <c r="H4" s="17">
        <v>10450</v>
      </c>
      <c r="I4" s="17" cm="1">
        <f t="array" ref="I4">_xlfn.IFS(G4&gt;H$15,I$15,G4&gt;H$16,I$16,TRUE,0)</f>
        <v>0</v>
      </c>
      <c r="J4" s="27" t="str">
        <f t="shared" si="2"/>
        <v/>
      </c>
    </row>
    <row r="5" spans="1:10" x14ac:dyDescent="0.35">
      <c r="A5" s="4" t="s">
        <v>10</v>
      </c>
      <c r="B5" s="16" t="s">
        <v>14</v>
      </c>
      <c r="C5" s="4" t="str" cm="1">
        <f t="array" ref="C5">_xlfn.SWITCH(B5,"PD","Paid in Full","CR","Credit")</f>
        <v>Credit</v>
      </c>
      <c r="D5" s="8">
        <f t="shared" si="0"/>
        <v>4</v>
      </c>
      <c r="E5" s="6">
        <v>45413</v>
      </c>
      <c r="F5" s="6">
        <v>45488</v>
      </c>
      <c r="G5" s="16">
        <f t="shared" si="1"/>
        <v>75</v>
      </c>
      <c r="H5" s="17">
        <v>18000</v>
      </c>
      <c r="I5" s="17" cm="1">
        <f t="array" ref="I5">_xlfn.IFS(G5&gt;H$15,I$15,G5&gt;H$16,I$16,TRUE,0)</f>
        <v>100</v>
      </c>
      <c r="J5" s="27" t="str">
        <f t="shared" si="2"/>
        <v/>
      </c>
    </row>
    <row r="6" spans="1:10" x14ac:dyDescent="0.35">
      <c r="A6" s="4" t="s">
        <v>12</v>
      </c>
      <c r="B6" s="16" t="s">
        <v>11</v>
      </c>
      <c r="C6" s="4" t="str" cm="1">
        <f t="array" ref="C6">_xlfn.SWITCH(B6,"PD","Paid in Full","CR","Credit")</f>
        <v>Paid in Full</v>
      </c>
      <c r="D6" s="8">
        <f t="shared" si="0"/>
        <v>5</v>
      </c>
      <c r="E6" s="6">
        <v>45407</v>
      </c>
      <c r="F6" s="6">
        <v>45453</v>
      </c>
      <c r="G6" s="16">
        <f t="shared" si="1"/>
        <v>46</v>
      </c>
      <c r="H6" s="17">
        <v>13100</v>
      </c>
      <c r="I6" s="17" cm="1">
        <f t="array" ref="I6">_xlfn.IFS(G6&gt;H$15,I$15,G6&gt;H$16,I$16,TRUE,0)</f>
        <v>50</v>
      </c>
      <c r="J6" s="27" t="str">
        <f t="shared" si="2"/>
        <v>Send Gift Basket</v>
      </c>
    </row>
    <row r="7" spans="1:10" x14ac:dyDescent="0.35">
      <c r="A7" s="4" t="s">
        <v>12</v>
      </c>
      <c r="B7" s="16" t="s">
        <v>14</v>
      </c>
      <c r="C7" s="4" t="str" cm="1">
        <f t="array" ref="C7">_xlfn.SWITCH(B7,"PD","Paid in Full","CR","Credit")</f>
        <v>Credit</v>
      </c>
      <c r="D7" s="8">
        <f t="shared" si="0"/>
        <v>3</v>
      </c>
      <c r="E7" s="6">
        <v>45412</v>
      </c>
      <c r="F7" s="6">
        <v>45458</v>
      </c>
      <c r="G7" s="16">
        <f t="shared" si="1"/>
        <v>46</v>
      </c>
      <c r="H7" s="17">
        <v>13100</v>
      </c>
      <c r="I7" s="17" cm="1">
        <f t="array" ref="I7">_xlfn.IFS(G7&gt;H$15,I$15,G7&gt;H$16,I$16,TRUE,0)</f>
        <v>50</v>
      </c>
      <c r="J7" s="27" t="str">
        <f t="shared" si="2"/>
        <v/>
      </c>
    </row>
    <row r="8" spans="1:10" x14ac:dyDescent="0.35">
      <c r="A8" s="4" t="s">
        <v>13</v>
      </c>
      <c r="B8" s="16" t="s">
        <v>14</v>
      </c>
      <c r="C8" s="4" t="str" cm="1">
        <f t="array" ref="C8">_xlfn.SWITCH(B8,"PD","Paid in Full","CR","Credit")</f>
        <v>Credit</v>
      </c>
      <c r="D8" s="8">
        <f t="shared" si="0"/>
        <v>2</v>
      </c>
      <c r="E8" s="6">
        <v>45404</v>
      </c>
      <c r="F8" s="6">
        <v>45441</v>
      </c>
      <c r="G8" s="16">
        <f t="shared" si="1"/>
        <v>37</v>
      </c>
      <c r="H8" s="17">
        <v>10500</v>
      </c>
      <c r="I8" s="17" cm="1">
        <f t="array" ref="I8">_xlfn.IFS(G8&gt;H$15,I$15,G8&gt;H$16,I$16,TRUE,0)</f>
        <v>0</v>
      </c>
      <c r="J8" s="27" t="str">
        <f t="shared" si="2"/>
        <v/>
      </c>
    </row>
    <row r="9" spans="1:10" x14ac:dyDescent="0.35">
      <c r="A9" s="4" t="s">
        <v>10</v>
      </c>
      <c r="B9" s="16" t="s">
        <v>14</v>
      </c>
      <c r="C9" s="4" t="str" cm="1">
        <f t="array" ref="C9">_xlfn.SWITCH(B9,"PD","Paid in Full","CR","Credit")</f>
        <v>Credit</v>
      </c>
      <c r="D9" s="8">
        <f t="shared" si="0"/>
        <v>4</v>
      </c>
      <c r="E9" s="6">
        <v>45392</v>
      </c>
      <c r="F9" s="6">
        <v>45442</v>
      </c>
      <c r="G9" s="16">
        <f t="shared" si="1"/>
        <v>50</v>
      </c>
      <c r="H9" s="17">
        <v>17000</v>
      </c>
      <c r="I9" s="17" cm="1">
        <f t="array" ref="I9">_xlfn.IFS(G9&gt;H$15,I$15,G9&gt;H$16,I$16,TRUE,0)</f>
        <v>50</v>
      </c>
      <c r="J9" s="27" t="str">
        <f t="shared" si="2"/>
        <v/>
      </c>
    </row>
    <row r="10" spans="1:10" x14ac:dyDescent="0.35">
      <c r="A10" s="4" t="s">
        <v>10</v>
      </c>
      <c r="B10" s="16" t="s">
        <v>14</v>
      </c>
      <c r="C10" s="4" t="str" cm="1">
        <f t="array" ref="C10">_xlfn.SWITCH(B10,"PD","Paid in Full","CR","Credit")</f>
        <v>Credit</v>
      </c>
      <c r="D10" s="8">
        <f t="shared" si="0"/>
        <v>7</v>
      </c>
      <c r="E10" s="6">
        <v>45409</v>
      </c>
      <c r="F10" s="6">
        <v>45473</v>
      </c>
      <c r="G10" s="16">
        <f t="shared" si="1"/>
        <v>64</v>
      </c>
      <c r="H10" s="17">
        <v>16000</v>
      </c>
      <c r="I10" s="17" cm="1">
        <f t="array" ref="I10">_xlfn.IFS(G10&gt;H$15,I$15,G10&gt;H$16,I$16,TRUE,0)</f>
        <v>50</v>
      </c>
      <c r="J10" s="27" t="str">
        <f t="shared" si="2"/>
        <v/>
      </c>
    </row>
    <row r="11" spans="1:10" x14ac:dyDescent="0.35">
      <c r="A11" s="4" t="s">
        <v>12</v>
      </c>
      <c r="B11" s="16" t="s">
        <v>11</v>
      </c>
      <c r="C11" s="4" t="str" cm="1">
        <f t="array" ref="C11">_xlfn.SWITCH(B11,"PD","Paid in Full","CR","Credit")</f>
        <v>Paid in Full</v>
      </c>
      <c r="D11" s="8">
        <f t="shared" si="0"/>
        <v>2</v>
      </c>
      <c r="E11" s="6">
        <v>45390</v>
      </c>
      <c r="F11" s="6">
        <v>45420</v>
      </c>
      <c r="G11" s="16">
        <f t="shared" si="1"/>
        <v>30</v>
      </c>
      <c r="H11" s="17">
        <v>14250</v>
      </c>
      <c r="I11" s="17" cm="1">
        <f t="array" ref="I11">_xlfn.IFS(G11&gt;H$15,I$15,G11&gt;H$16,I$16,TRUE,0)</f>
        <v>0</v>
      </c>
      <c r="J11" s="27" t="str">
        <f t="shared" si="2"/>
        <v>Send Gift Basket</v>
      </c>
    </row>
    <row r="12" spans="1:10" x14ac:dyDescent="0.35">
      <c r="A12" s="4" t="s">
        <v>13</v>
      </c>
      <c r="B12" s="16" t="s">
        <v>11</v>
      </c>
      <c r="C12" s="4" t="str" cm="1">
        <f t="array" ref="C12">_xlfn.SWITCH(B12,"PD","Paid in Full","CR","Credit")</f>
        <v>Paid in Full</v>
      </c>
      <c r="D12" s="8">
        <f t="shared" si="0"/>
        <v>4</v>
      </c>
      <c r="E12" s="6">
        <v>45392</v>
      </c>
      <c r="F12" s="6">
        <v>45444</v>
      </c>
      <c r="G12" s="16">
        <f t="shared" si="1"/>
        <v>52</v>
      </c>
      <c r="H12" s="17">
        <v>10000</v>
      </c>
      <c r="I12" s="17" cm="1">
        <f t="array" ref="I12">_xlfn.IFS(G12&gt;H$15,I$15,G12&gt;H$16,I$16,TRUE,0)</f>
        <v>50</v>
      </c>
      <c r="J12" s="27" t="str">
        <f t="shared" si="2"/>
        <v/>
      </c>
    </row>
    <row r="13" spans="1:10" ht="15" thickBot="1" x14ac:dyDescent="0.4">
      <c r="A13" s="4"/>
      <c r="B13" s="4"/>
      <c r="C13" s="4"/>
      <c r="D13" s="6"/>
      <c r="E13" s="4"/>
      <c r="F13" s="8"/>
      <c r="G13" s="4"/>
      <c r="H13" s="4"/>
      <c r="I13" s="4"/>
      <c r="J13" s="4"/>
    </row>
    <row r="14" spans="1:10" x14ac:dyDescent="0.35">
      <c r="A14" s="24" t="s">
        <v>0</v>
      </c>
      <c r="B14" s="2" t="s">
        <v>15</v>
      </c>
      <c r="C14" s="3" t="s">
        <v>16</v>
      </c>
      <c r="D14" s="24" t="s">
        <v>17</v>
      </c>
      <c r="E14" s="25" t="s">
        <v>18</v>
      </c>
      <c r="F14" s="4"/>
      <c r="G14" s="4"/>
      <c r="H14" s="19" t="s">
        <v>19</v>
      </c>
      <c r="I14" s="25" t="s">
        <v>8</v>
      </c>
      <c r="J14" s="4"/>
    </row>
    <row r="15" spans="1:10" x14ac:dyDescent="0.35">
      <c r="A15" s="26" t="s">
        <v>10</v>
      </c>
      <c r="B15" s="28">
        <f>AVERAGEIF($A$2:$A$12, A15, $G$2:$G$12)</f>
        <v>65</v>
      </c>
      <c r="C15" s="29">
        <f>COUNTIF($A$2:$A$12, A15)</f>
        <v>4</v>
      </c>
      <c r="D15" s="26" t="s">
        <v>20</v>
      </c>
      <c r="E15" s="21">
        <f>_xlfn.MAXIFS($H$2:$H$12, $C$2:$C$12, "Credit",$A$2:$A$12,A15)</f>
        <v>18000</v>
      </c>
      <c r="F15" s="4"/>
      <c r="G15" s="4"/>
      <c r="H15" s="20">
        <v>70</v>
      </c>
      <c r="I15" s="21">
        <v>100</v>
      </c>
      <c r="J15" s="4"/>
    </row>
    <row r="16" spans="1:10" x14ac:dyDescent="0.35">
      <c r="A16" s="26" t="s">
        <v>12</v>
      </c>
      <c r="B16" s="28">
        <f t="shared" ref="B16:B17" si="3">AVERAGEIF($A$2:$A$12, A16, $G$2:$G$12)</f>
        <v>38.75</v>
      </c>
      <c r="C16" s="29">
        <f t="shared" ref="C16:C17" si="4">COUNTIF($A$2:$A$12, A16)</f>
        <v>4</v>
      </c>
      <c r="D16" s="26" t="s">
        <v>21</v>
      </c>
      <c r="E16" s="21">
        <f>AVERAGEIFS(H$2:H$12,A$2:A$12,A16,C$2:C$12,E$14)</f>
        <v>13100</v>
      </c>
      <c r="F16" s="4"/>
      <c r="G16" s="4"/>
      <c r="H16" s="22">
        <v>45</v>
      </c>
      <c r="I16" s="23">
        <v>50</v>
      </c>
      <c r="J16" s="4"/>
    </row>
    <row r="17" spans="1:6" x14ac:dyDescent="0.35">
      <c r="A17" s="1" t="s">
        <v>13</v>
      </c>
      <c r="B17" s="28">
        <f t="shared" si="3"/>
        <v>39</v>
      </c>
      <c r="C17" s="29">
        <f t="shared" si="4"/>
        <v>3</v>
      </c>
      <c r="D17" s="1" t="s">
        <v>22</v>
      </c>
      <c r="E17" s="21">
        <f>_xlfn.MINIFS(H$2:H$12,A$2:A$12,A17,C$2:C$12,E$14)</f>
        <v>10450</v>
      </c>
      <c r="F17" s="4"/>
    </row>
    <row r="18" spans="1:6" x14ac:dyDescent="0.35">
      <c r="A18" s="4"/>
      <c r="B18" s="4"/>
      <c r="C18" s="4"/>
      <c r="D18" s="4"/>
      <c r="E18" s="4"/>
      <c r="F18" s="4"/>
    </row>
    <row r="19" spans="1:6" x14ac:dyDescent="0.35">
      <c r="A19" s="4"/>
      <c r="B19" s="4"/>
      <c r="C19" s="4"/>
      <c r="D19" s="4"/>
      <c r="E19" s="4"/>
      <c r="F19" s="4"/>
    </row>
    <row r="20" spans="1:6" x14ac:dyDescent="0.35">
      <c r="A20" s="4"/>
      <c r="B20" s="4"/>
      <c r="C20" s="4"/>
      <c r="D20" s="4"/>
      <c r="E20" s="4"/>
      <c r="F20" s="27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A3" sqref="A3:B8"/>
    </sheetView>
  </sheetViews>
  <sheetFormatPr defaultRowHeight="14.5" x14ac:dyDescent="0.35"/>
  <cols>
    <col min="1" max="1" width="9.7265625" customWidth="1"/>
    <col min="2" max="2" width="9.54296875" bestFit="1" customWidth="1"/>
  </cols>
  <sheetData>
    <row r="1" spans="1:2" x14ac:dyDescent="0.35">
      <c r="A1" s="11" t="s">
        <v>23</v>
      </c>
      <c r="B1" s="11"/>
    </row>
    <row r="3" spans="1:2" x14ac:dyDescent="0.35">
      <c r="A3" s="10" t="s">
        <v>24</v>
      </c>
      <c r="B3" s="10" t="s">
        <v>25</v>
      </c>
    </row>
    <row r="4" spans="1:2" x14ac:dyDescent="0.35">
      <c r="A4" s="4" t="s">
        <v>26</v>
      </c>
      <c r="B4" s="7">
        <v>3108</v>
      </c>
    </row>
    <row r="5" spans="1:2" x14ac:dyDescent="0.35">
      <c r="A5" s="4" t="s">
        <v>27</v>
      </c>
      <c r="B5" s="7">
        <v>1051</v>
      </c>
    </row>
    <row r="6" spans="1:2" x14ac:dyDescent="0.35">
      <c r="A6" s="4" t="s">
        <v>28</v>
      </c>
      <c r="B6" s="7">
        <v>729</v>
      </c>
    </row>
    <row r="7" spans="1:2" x14ac:dyDescent="0.35">
      <c r="A7" s="4" t="s">
        <v>29</v>
      </c>
      <c r="B7" s="7">
        <v>1047</v>
      </c>
    </row>
    <row r="8" spans="1:2" x14ac:dyDescent="0.35">
      <c r="A8" s="4" t="s">
        <v>30</v>
      </c>
      <c r="B8" s="7">
        <v>2284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A7" sqref="A7"/>
    </sheetView>
  </sheetViews>
  <sheetFormatPr defaultRowHeight="14.5" x14ac:dyDescent="0.35"/>
  <cols>
    <col min="1" max="1" width="13.453125" customWidth="1"/>
    <col min="2" max="2" width="11.26953125" customWidth="1"/>
    <col min="3" max="3" width="9.26953125" bestFit="1" customWidth="1"/>
    <col min="4" max="4" width="13.81640625" customWidth="1"/>
    <col min="5" max="5" width="36.54296875" bestFit="1" customWidth="1"/>
  </cols>
  <sheetData>
    <row r="1" spans="1:5" x14ac:dyDescent="0.35">
      <c r="A1" s="9" t="s">
        <v>7</v>
      </c>
      <c r="B1" s="13">
        <v>15000</v>
      </c>
      <c r="C1" s="4"/>
      <c r="D1" s="9" t="s">
        <v>31</v>
      </c>
      <c r="E1" s="33">
        <f>-CUMIPMT(B3/B2,B2,B1,B7,B18,0)</f>
        <v>236.64000000004307</v>
      </c>
    </row>
    <row r="2" spans="1:5" x14ac:dyDescent="0.35">
      <c r="A2" s="9" t="s">
        <v>32</v>
      </c>
      <c r="B2" s="15">
        <v>12</v>
      </c>
      <c r="C2" s="4"/>
      <c r="D2" s="9" t="s">
        <v>33</v>
      </c>
      <c r="E2" s="13">
        <f>-CUMPRINC(B3/B2,B2,B1,B7,B12,0)</f>
        <v>7445.6978617780615</v>
      </c>
    </row>
    <row r="3" spans="1:5" x14ac:dyDescent="0.35">
      <c r="A3" s="9" t="s">
        <v>34</v>
      </c>
      <c r="B3" s="12">
        <f>RATE(B2,-B4,B1)*12</f>
        <v>2.89966236386771E-2</v>
      </c>
      <c r="C3" s="5"/>
      <c r="D3" s="4"/>
      <c r="E3" s="4"/>
    </row>
    <row r="4" spans="1:5" x14ac:dyDescent="0.35">
      <c r="A4" s="9" t="s">
        <v>35</v>
      </c>
      <c r="B4" s="13">
        <v>1269.72</v>
      </c>
      <c r="C4" s="5"/>
      <c r="D4" s="4"/>
      <c r="E4" s="4"/>
    </row>
    <row r="6" spans="1:5" x14ac:dyDescent="0.35">
      <c r="A6" s="9" t="s">
        <v>36</v>
      </c>
      <c r="B6" s="9" t="s">
        <v>37</v>
      </c>
      <c r="C6" s="18" t="s">
        <v>38</v>
      </c>
      <c r="D6" s="18" t="s">
        <v>39</v>
      </c>
      <c r="E6" s="18" t="s">
        <v>40</v>
      </c>
    </row>
    <row r="7" spans="1:5" x14ac:dyDescent="0.35">
      <c r="A7" s="35">
        <v>45332</v>
      </c>
      <c r="B7" s="14">
        <v>1</v>
      </c>
      <c r="C7" s="31">
        <f>IPMT($B$3/$B$2,B7,B$2,-B$1)</f>
        <v>36.24577954834637</v>
      </c>
      <c r="D7" s="30">
        <f>PPMT(B$3/B$2,B7,B$2,-$B$1)</f>
        <v>1233.4742204516569</v>
      </c>
      <c r="E7" s="30">
        <f>(B1)-D7</f>
        <v>13766.525779548343</v>
      </c>
    </row>
    <row r="8" spans="1:5" x14ac:dyDescent="0.35">
      <c r="A8" s="32">
        <f>EDATE(A7,1)</f>
        <v>45361</v>
      </c>
      <c r="B8" s="14">
        <v>2</v>
      </c>
      <c r="C8" s="31">
        <f t="shared" ref="C8:C18" si="0">IPMT($B$3/$B$2,B8,B$2,-B$1)</f>
        <v>33.265230570142428</v>
      </c>
      <c r="D8" s="30">
        <f t="shared" ref="D8:D18" si="1">PPMT(B$3/B$2,B8,B$2,-$B$1)</f>
        <v>1236.454769429861</v>
      </c>
      <c r="E8" s="30">
        <f>E7-D8</f>
        <v>12530.071010118481</v>
      </c>
    </row>
    <row r="9" spans="1:5" x14ac:dyDescent="0.35">
      <c r="A9" s="32">
        <f t="shared" ref="A9:A18" si="2">EDATE(A8,1)</f>
        <v>45392</v>
      </c>
      <c r="B9" s="14">
        <v>3</v>
      </c>
      <c r="C9" s="31">
        <f t="shared" si="0"/>
        <v>30.277479437192017</v>
      </c>
      <c r="D9" s="30">
        <f t="shared" si="1"/>
        <v>1239.4425205628113</v>
      </c>
      <c r="E9" s="30">
        <f t="shared" ref="E9:E18" si="3">E8-D9</f>
        <v>11290.628489555671</v>
      </c>
    </row>
    <row r="10" spans="1:5" x14ac:dyDescent="0.35">
      <c r="A10" s="32">
        <f t="shared" si="2"/>
        <v>45422</v>
      </c>
      <c r="B10" s="14">
        <v>4</v>
      </c>
      <c r="C10" s="31">
        <f t="shared" si="0"/>
        <v>27.282508746314257</v>
      </c>
      <c r="D10" s="30">
        <f t="shared" si="1"/>
        <v>1242.4374912536891</v>
      </c>
      <c r="E10" s="30">
        <f t="shared" si="3"/>
        <v>10048.190998301981</v>
      </c>
    </row>
    <row r="11" spans="1:5" x14ac:dyDescent="0.35">
      <c r="A11" s="32">
        <f t="shared" si="2"/>
        <v>45453</v>
      </c>
      <c r="B11" s="14">
        <v>5</v>
      </c>
      <c r="C11" s="31">
        <f t="shared" si="0"/>
        <v>24.280301052275473</v>
      </c>
      <c r="D11" s="30">
        <f t="shared" si="1"/>
        <v>1245.4396989477279</v>
      </c>
      <c r="E11" s="30">
        <f t="shared" si="3"/>
        <v>8802.7512993542532</v>
      </c>
    </row>
    <row r="12" spans="1:5" x14ac:dyDescent="0.35">
      <c r="A12" s="32">
        <f t="shared" si="2"/>
        <v>45483</v>
      </c>
      <c r="B12" s="14">
        <v>6</v>
      </c>
      <c r="C12" s="31">
        <f t="shared" si="0"/>
        <v>21.270838867687594</v>
      </c>
      <c r="D12" s="30">
        <f t="shared" si="1"/>
        <v>1248.4491611323158</v>
      </c>
      <c r="E12" s="30">
        <f t="shared" si="3"/>
        <v>7554.3021382219376</v>
      </c>
    </row>
    <row r="13" spans="1:5" x14ac:dyDescent="0.35">
      <c r="A13" s="32">
        <f t="shared" si="2"/>
        <v>45514</v>
      </c>
      <c r="B13" s="14">
        <v>7</v>
      </c>
      <c r="C13" s="31">
        <f t="shared" si="0"/>
        <v>18.254104662906265</v>
      </c>
      <c r="D13" s="30">
        <f t="shared" si="1"/>
        <v>1251.4658953370972</v>
      </c>
      <c r="E13" s="30">
        <f t="shared" si="3"/>
        <v>6302.8362428848404</v>
      </c>
    </row>
    <row r="14" spans="1:5" x14ac:dyDescent="0.35">
      <c r="A14" s="32">
        <f t="shared" si="2"/>
        <v>45545</v>
      </c>
      <c r="B14" s="14">
        <v>8</v>
      </c>
      <c r="C14" s="31">
        <f t="shared" si="0"/>
        <v>15.230080865928779</v>
      </c>
      <c r="D14" s="30">
        <f t="shared" si="1"/>
        <v>1254.4899191340746</v>
      </c>
      <c r="E14" s="30">
        <f t="shared" si="3"/>
        <v>5048.3463237507658</v>
      </c>
    </row>
    <row r="15" spans="1:5" x14ac:dyDescent="0.35">
      <c r="A15" s="32">
        <f t="shared" si="2"/>
        <v>45575</v>
      </c>
      <c r="B15" s="14">
        <v>9</v>
      </c>
      <c r="C15" s="31">
        <f t="shared" si="0"/>
        <v>12.198749862291679</v>
      </c>
      <c r="D15" s="30">
        <f t="shared" si="1"/>
        <v>1257.5212501377118</v>
      </c>
      <c r="E15" s="30">
        <f t="shared" si="3"/>
        <v>3790.825073613054</v>
      </c>
    </row>
    <row r="16" spans="1:5" x14ac:dyDescent="0.35">
      <c r="A16" s="32">
        <f t="shared" si="2"/>
        <v>45606</v>
      </c>
      <c r="B16" s="14">
        <v>10</v>
      </c>
      <c r="C16" s="31">
        <f t="shared" si="0"/>
        <v>9.1600939949681823</v>
      </c>
      <c r="D16" s="30">
        <f t="shared" si="1"/>
        <v>1260.5599060050354</v>
      </c>
      <c r="E16" s="30">
        <f t="shared" si="3"/>
        <v>2530.2651676080186</v>
      </c>
    </row>
    <row r="17" spans="1:5" x14ac:dyDescent="0.35">
      <c r="A17" s="32">
        <f t="shared" si="2"/>
        <v>45636</v>
      </c>
      <c r="B17" s="14">
        <v>11</v>
      </c>
      <c r="C17" s="31">
        <f t="shared" si="0"/>
        <v>6.114095564265333</v>
      </c>
      <c r="D17" s="30">
        <f t="shared" si="1"/>
        <v>1263.605904435738</v>
      </c>
      <c r="E17" s="30">
        <f t="shared" si="3"/>
        <v>1266.6592631722806</v>
      </c>
    </row>
    <row r="18" spans="1:5" x14ac:dyDescent="0.35">
      <c r="A18" s="32">
        <f t="shared" si="2"/>
        <v>45667</v>
      </c>
      <c r="B18" s="14">
        <v>12</v>
      </c>
      <c r="C18" s="31">
        <f t="shared" si="0"/>
        <v>3.0607368277208935</v>
      </c>
      <c r="D18" s="30">
        <f t="shared" si="1"/>
        <v>1266.6592631722824</v>
      </c>
      <c r="E18" s="30">
        <f t="shared" si="3"/>
        <v>-1.8189894035458565E-12</v>
      </c>
    </row>
    <row r="21" spans="1:5" x14ac:dyDescent="0.35">
      <c r="E21" s="3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3UUBdMiFD9ZuKOhghZhT49Xpai4lOodO7RqF2g7qluRckg2OD8BqJVgcWQypHKby1XmSXCKxeEskYef5Q0BUMCsCcmvlkOS9-~H7iN2pUDoAiqefLGW3Rhww==#@#11623602#@#7/22/2021 11:40:24 PM</id>
</project>
</file>

<file path=customXml/itemProps1.xml><?xml version="1.0" encoding="utf-8"?>
<ds:datastoreItem xmlns:ds="http://schemas.openxmlformats.org/officeDocument/2006/customXml" ds:itemID="{66623709-E4F1-43EC-B6D7-A4D8EF42CD3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Map</vt:lpstr>
      <vt:lpstr>Loan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Keith Mulbery</dc:creator>
  <cp:keywords/>
  <dc:description/>
  <cp:lastModifiedBy>Moorche</cp:lastModifiedBy>
  <cp:revision/>
  <dcterms:created xsi:type="dcterms:W3CDTF">2021-04-15T13:48:08Z</dcterms:created>
  <dcterms:modified xsi:type="dcterms:W3CDTF">2026-02-25T08:02:16Z</dcterms:modified>
  <cp:category/>
  <cp:contentStatus/>
</cp:coreProperties>
</file>