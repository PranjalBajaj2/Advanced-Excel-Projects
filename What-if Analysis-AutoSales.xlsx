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19200" windowHeight="8300" activeTab="1"/>
  </bookViews>
  <sheets>
    <sheet name="Scenario Summary" sheetId="5" r:id="rId1"/>
    <sheet name="Answer Report 1" sheetId="6" r:id="rId2"/>
    <sheet name="Finance Worksheet" sheetId="1" r:id="rId3"/>
    <sheet name="Range Names" sheetId="4" r:id="rId4"/>
  </sheets>
  <definedNames>
    <definedName name="Amount_Financed">'Finance Worksheet'!$C$13</definedName>
    <definedName name="APR">'Finance Worksheet'!$C$9</definedName>
    <definedName name="Down_Payment">'Finance Worksheet'!$C$7</definedName>
    <definedName name="Down_Payment_Amount">'Finance Worksheet'!$C$12</definedName>
    <definedName name="Months_Financed">'Finance Worksheet'!$C$8</definedName>
    <definedName name="Purchase_Price">'Finance Worksheet'!$C$5</definedName>
    <definedName name="Sales_Tax">'Finance Worksheet'!$C$6</definedName>
    <definedName name="solver_adj" localSheetId="2" hidden="1">'Finance Worksheet'!$C$5,'Finance Worksheet'!$C$8</definedName>
    <definedName name="solver_cvg" localSheetId="2" hidden="1">0.0001</definedName>
    <definedName name="solver_drv" localSheetId="2" hidden="1">1</definedName>
    <definedName name="solver_eng" localSheetId="2" hidden="1">1</definedName>
    <definedName name="solver_est" localSheetId="2" hidden="1">1</definedName>
    <definedName name="solver_itr" localSheetId="2" hidden="1">2147483647</definedName>
    <definedName name="solver_lhs1" localSheetId="2" hidden="1">'Finance Worksheet'!$C$8</definedName>
    <definedName name="solver_lhs2" localSheetId="2" hidden="1">'Finance Worksheet'!$C$8</definedName>
    <definedName name="solver_lhs3" localSheetId="2" hidden="1">'Finance Worksheet'!$C$8</definedName>
    <definedName name="solver_lhs4" localSheetId="2" hidden="1">'Finance Worksheet'!$C$5</definedName>
    <definedName name="solver_lhs5" localSheetId="2" hidden="1">'Finance Worksheet'!$C$5</definedName>
    <definedName name="solver_lhs6" localSheetId="2" hidden="1">'Finance Worksheet'!$C$5</definedName>
    <definedName name="solver_mip" localSheetId="2" hidden="1">2147483647</definedName>
    <definedName name="solver_mni" localSheetId="2" hidden="1">30</definedName>
    <definedName name="solver_mrt" localSheetId="2" hidden="1">0.075</definedName>
    <definedName name="solver_msl" localSheetId="2" hidden="1">2</definedName>
    <definedName name="solver_neg" localSheetId="2" hidden="1">1</definedName>
    <definedName name="solver_nod" localSheetId="2" hidden="1">2147483647</definedName>
    <definedName name="solver_num" localSheetId="2" hidden="1">6</definedName>
    <definedName name="solver_nwt" localSheetId="2" hidden="1">1</definedName>
    <definedName name="solver_opt" localSheetId="2" hidden="1">'Finance Worksheet'!$C$15</definedName>
    <definedName name="solver_pre" localSheetId="2" hidden="1">0.000001</definedName>
    <definedName name="solver_rbv" localSheetId="2" hidden="1">1</definedName>
    <definedName name="solver_rel1" localSheetId="2" hidden="1">1</definedName>
    <definedName name="solver_rel2" localSheetId="2" hidden="1">4</definedName>
    <definedName name="solver_rel3" localSheetId="2" hidden="1">3</definedName>
    <definedName name="solver_rel4" localSheetId="2" hidden="1">1</definedName>
    <definedName name="solver_rel5" localSheetId="2" hidden="1">4</definedName>
    <definedName name="solver_rel6" localSheetId="2" hidden="1">3</definedName>
    <definedName name="solver_rhs1" localSheetId="2" hidden="1">72</definedName>
    <definedName name="solver_rhs2" localSheetId="2" hidden="1">integer</definedName>
    <definedName name="solver_rhs3" localSheetId="2" hidden="1">24</definedName>
    <definedName name="solver_rhs4" localSheetId="2" hidden="1">50000</definedName>
    <definedName name="solver_rhs5" localSheetId="2" hidden="1">integer</definedName>
    <definedName name="solver_rhs6" localSheetId="2" hidden="1">30000</definedName>
    <definedName name="solver_rlx" localSheetId="2" hidden="1">2</definedName>
    <definedName name="solver_rsd" localSheetId="2" hidden="1">0</definedName>
    <definedName name="solver_scl" localSheetId="2" hidden="1">1</definedName>
    <definedName name="solver_sho" localSheetId="2" hidden="1">2</definedName>
    <definedName name="solver_ssz" localSheetId="2" hidden="1">100</definedName>
    <definedName name="solver_tim" localSheetId="2" hidden="1">2147483647</definedName>
    <definedName name="solver_tol" localSheetId="2" hidden="1">0.01</definedName>
    <definedName name="solver_typ" localSheetId="2" hidden="1">3</definedName>
    <definedName name="solver_val" localSheetId="2" hidden="1">500</definedName>
    <definedName name="solver_ver" localSheetId="2" hidden="1">3</definedName>
    <definedName name="Tax">'Finance Worksheet'!$C$14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2" i="1" l="1"/>
  <c r="F4" i="1" l="1"/>
  <c r="C14" i="1"/>
  <c r="G4" i="1" s="1"/>
  <c r="C13" i="1" l="1"/>
  <c r="C15" i="1" l="1"/>
  <c r="J4" i="1" s="1"/>
  <c r="H4" i="1" l="1"/>
</calcChain>
</file>

<file path=xl/sharedStrings.xml><?xml version="1.0" encoding="utf-8"?>
<sst xmlns="http://schemas.openxmlformats.org/spreadsheetml/2006/main" count="105" uniqueCount="74">
  <si>
    <t>Grossman Automative</t>
  </si>
  <si>
    <t>Purchase Price</t>
  </si>
  <si>
    <t>Down Payment</t>
  </si>
  <si>
    <t>Amount Financed</t>
  </si>
  <si>
    <t>APR</t>
  </si>
  <si>
    <t>Input</t>
  </si>
  <si>
    <t>Output</t>
  </si>
  <si>
    <t>Monthly Payment</t>
  </si>
  <si>
    <t>Sales Tax</t>
  </si>
  <si>
    <t>Months Financed</t>
  </si>
  <si>
    <t>Down Payment Amount</t>
  </si>
  <si>
    <t>Tax Owed</t>
  </si>
  <si>
    <t>Amount_Financed</t>
  </si>
  <si>
    <t>='Finance Worksheet'!$C$13</t>
  </si>
  <si>
    <t>='Finance Worksheet'!$C$9</t>
  </si>
  <si>
    <t>Down_Payment</t>
  </si>
  <si>
    <t>='Finance Worksheet'!$C$7</t>
  </si>
  <si>
    <t>Down_Payment_Amount</t>
  </si>
  <si>
    <t>='Finance Worksheet'!$C$12</t>
  </si>
  <si>
    <t>Months_Financed</t>
  </si>
  <si>
    <t>='Finance Worksheet'!$C$8</t>
  </si>
  <si>
    <t>Purchase_Price</t>
  </si>
  <si>
    <t>='Finance Worksheet'!$C$5</t>
  </si>
  <si>
    <t>Sales_Tax</t>
  </si>
  <si>
    <t>='Finance Worksheet'!$C$6</t>
  </si>
  <si>
    <t>='Finance Worksheet'!$C$14</t>
  </si>
  <si>
    <t>$C$15</t>
  </si>
  <si>
    <t>Best Case</t>
  </si>
  <si>
    <t>Worst Case</t>
  </si>
  <si>
    <t xml:space="preserve">Most Likely </t>
  </si>
  <si>
    <t>Scenario Summary</t>
  </si>
  <si>
    <t>Changing Cells:</t>
  </si>
  <si>
    <t>Current Values:</t>
  </si>
  <si>
    <t>Result Cells:</t>
  </si>
  <si>
    <t>Notes:  Current Values column represents values of changing cells at</t>
  </si>
  <si>
    <t>time Scenario Summary Report was created.  Changing cells for each</t>
  </si>
  <si>
    <t>scenario are highlighted in gray.</t>
  </si>
  <si>
    <t>Tax</t>
  </si>
  <si>
    <t>Created by Moorche on 26/02/2026
Modified by Moorche on 26/02/2026</t>
  </si>
  <si>
    <t>Microsoft Excel 16.0 Answer Report</t>
  </si>
  <si>
    <t>Worksheet: [Suma_Exp22_Excel_Ch06_Cumulative_AutoSales.xlsx]Finance Worksheet</t>
  </si>
  <si>
    <t>Report Created: 26/02/2026 7:23:41 pm</t>
  </si>
  <si>
    <t>Result: Solver found an integer solution within tolerance.  All Constraints are satisfied.</t>
  </si>
  <si>
    <t>Solver Engine</t>
  </si>
  <si>
    <t>Engine: GRG Nonlinear</t>
  </si>
  <si>
    <t>Solution Time: 1.61 Seconds.</t>
  </si>
  <si>
    <t>Iterations: 1 Subproblems: 38</t>
  </si>
  <si>
    <t>Solver Options</t>
  </si>
  <si>
    <t>Max Time Unlimited,  Iterations Unlimited, Precision 0.000001, Use Automatic Scaling</t>
  </si>
  <si>
    <t xml:space="preserve"> Convergence 0.0001, Population Size 100, Random Seed 0, Derivatives Forward, Require Bounds</t>
  </si>
  <si>
    <t>Max Subproblems Unlimited, Max Integer Sols Unlimited, Integer Tolerance 1%, Assume NonNegative</t>
  </si>
  <si>
    <t>Objective Cell (Value Of)</t>
  </si>
  <si>
    <t>Cell</t>
  </si>
  <si>
    <t>Name</t>
  </si>
  <si>
    <t>Original Value</t>
  </si>
  <si>
    <t>Final Value</t>
  </si>
  <si>
    <t>Variable Cells</t>
  </si>
  <si>
    <t>Integer</t>
  </si>
  <si>
    <t>Constraints</t>
  </si>
  <si>
    <t>Cell Value</t>
  </si>
  <si>
    <t>Formula</t>
  </si>
  <si>
    <t>Status</t>
  </si>
  <si>
    <t>Slack</t>
  </si>
  <si>
    <t>$C$5</t>
  </si>
  <si>
    <t>$C$8</t>
  </si>
  <si>
    <t>$C$15=500</t>
  </si>
  <si>
    <t>Binding</t>
  </si>
  <si>
    <t>$C$8&lt;=72</t>
  </si>
  <si>
    <t>$C$8&gt;=24</t>
  </si>
  <si>
    <t>Not Binding</t>
  </si>
  <si>
    <t>$C$5&lt;=50000</t>
  </si>
  <si>
    <t>$C$5&gt;=30000</t>
  </si>
  <si>
    <t>$C$8=Integer</t>
  </si>
  <si>
    <t>$C$5=Integer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</si>
</sst>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2">
    <numFmt numFmtId="8" formatCode="&quot;Rs&quot;#,##0.00;[Red]\-&quot;Rs&quot;#,##0.00"/>
    <numFmt numFmtId="44" formatCode="_-&quot;Rs&quot;* #,##0.00_-;\-&quot;Rs&quot;* #,##0.00_-;_-&quot;Rs&quot;* &quot;-&quot;??_-;_-@_-"/>
    <numFmt numFmtId="43" formatCode="_-* #,##0.00_-;\-* #,##0.00_-;_-* &quot;-&quot;??_-;_-@_-"/>
    <numFmt numFmtId="164" formatCode="&quot;$&quot;#,##0.00_);[Red]\(&quot;$&quot;#,##0.00\)"/>
    <numFmt numFmtId="165" formatCode="_(&quot;$&quot;* #,##0.00_);_(&quot;$&quot;* \(#,##0.00\);_(&quot;$&quot;* &quot;-&quot;??_);_(@_)"/>
    <numFmt numFmtId="166" formatCode="_-[$$-45C]* #,##0.00_-;\-[$$-45C]* #,##0.00_-;_-[$$-45C]* &quot;-&quot;??_-;_-@_-"/>
    <numFmt numFmtId="167" formatCode="_-* #,##0_-;\-* #,##0_-;_-* &quot;-&quot;??_-;_-@_-"/>
    <numFmt numFmtId="168" formatCode="&quot;Down Payment&quot;"/>
    <numFmt numFmtId="169" formatCode="&quot;Tax&quot;"/>
    <numFmt numFmtId="170" formatCode="&quot;Monthly Pmt&quot;"/>
    <numFmt numFmtId="171" formatCode="_-[$$-409]* #,##0.00_ ;_-[$$-409]* \-#,##0.00\ ;_-[$$-409]* &quot;-&quot;??_ ;_-@_ "/>
    <numFmt numFmtId="173" formatCode="&quot;Purchase Price&quot;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indexed="9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1"/>
      <color indexed="18"/>
      <name val="Calibri"/>
      <family val="2"/>
      <scheme val="minor"/>
    </font>
    <font>
      <sz val="10"/>
      <color indexed="9"/>
      <name val="Calibri"/>
      <family val="2"/>
      <scheme val="minor"/>
    </font>
    <font>
      <sz val="8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20"/>
        <bgColor indexed="24"/>
      </patternFill>
    </fill>
    <fill>
      <patternFill patternType="solid">
        <fgColor indexed="22"/>
        <bgColor indexed="24"/>
      </patternFill>
    </fill>
    <fill>
      <patternFill patternType="solid">
        <fgColor indexed="22"/>
        <bgColor indexed="7"/>
      </patternFill>
    </fill>
  </fills>
  <borders count="2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23"/>
      </top>
      <bottom style="medium">
        <color indexed="23"/>
      </bottom>
      <diagonal/>
    </border>
    <border>
      <left/>
      <right/>
      <top style="thin">
        <color indexed="23"/>
      </top>
      <bottom style="medium">
        <color indexed="23"/>
      </bottom>
      <diagonal/>
    </border>
    <border>
      <left/>
      <right/>
      <top style="thin">
        <color indexed="23"/>
      </top>
      <bottom/>
      <diagonal/>
    </border>
  </borders>
  <cellStyleXfs count="28">
    <xf numFmtId="0" fontId="0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</cellStyleXfs>
  <cellXfs count="57">
    <xf numFmtId="0" fontId="0" fillId="0" borderId="0" xfId="0"/>
    <xf numFmtId="0" fontId="2" fillId="3" borderId="2" xfId="1" applyFont="1" applyFill="1" applyBorder="1"/>
    <xf numFmtId="0" fontId="1" fillId="3" borderId="3" xfId="1" applyFill="1" applyBorder="1"/>
    <xf numFmtId="164" fontId="1" fillId="4" borderId="4" xfId="1" applyNumberFormat="1" applyFill="1" applyBorder="1"/>
    <xf numFmtId="9" fontId="0" fillId="0" borderId="4" xfId="2" applyNumberFormat="1" applyFont="1" applyBorder="1"/>
    <xf numFmtId="165" fontId="0" fillId="0" borderId="4" xfId="1" applyNumberFormat="1" applyFont="1" applyFill="1" applyBorder="1"/>
    <xf numFmtId="0" fontId="0" fillId="0" borderId="8" xfId="1" applyFont="1" applyFill="1" applyBorder="1"/>
    <xf numFmtId="0" fontId="3" fillId="3" borderId="4" xfId="1" applyFont="1" applyFill="1" applyBorder="1"/>
    <xf numFmtId="0" fontId="1" fillId="0" borderId="4" xfId="1" applyBorder="1"/>
    <xf numFmtId="0" fontId="1" fillId="0" borderId="5" xfId="2" applyNumberForma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10" xfId="0" applyFont="1" applyBorder="1"/>
    <xf numFmtId="0" fontId="1" fillId="0" borderId="11" xfId="1" applyBorder="1"/>
    <xf numFmtId="0" fontId="1" fillId="3" borderId="8" xfId="1" applyFill="1" applyBorder="1"/>
    <xf numFmtId="9" fontId="1" fillId="0" borderId="4" xfId="1" applyNumberFormat="1" applyBorder="1"/>
    <xf numFmtId="165" fontId="0" fillId="0" borderId="4" xfId="1" applyNumberFormat="1" applyFont="1" applyBorder="1"/>
    <xf numFmtId="165" fontId="1" fillId="0" borderId="4" xfId="1" applyNumberFormat="1" applyBorder="1"/>
    <xf numFmtId="10" fontId="1" fillId="0" borderId="4" xfId="1" applyNumberFormat="1" applyBorder="1"/>
    <xf numFmtId="0" fontId="1" fillId="3" borderId="1" xfId="1" applyFill="1" applyBorder="1"/>
    <xf numFmtId="0" fontId="1" fillId="3" borderId="2" xfId="1" applyFill="1" applyBorder="1"/>
    <xf numFmtId="166" fontId="1" fillId="2" borderId="4" xfId="27" applyNumberFormat="1" applyFill="1" applyBorder="1"/>
    <xf numFmtId="166" fontId="1" fillId="2" borderId="11" xfId="27" applyNumberFormat="1" applyFill="1" applyBorder="1"/>
    <xf numFmtId="167" fontId="1" fillId="0" borderId="4" xfId="27" applyNumberFormat="1" applyBorder="1"/>
    <xf numFmtId="167" fontId="1" fillId="0" borderId="11" xfId="27" applyNumberFormat="1" applyBorder="1"/>
    <xf numFmtId="168" fontId="3" fillId="3" borderId="4" xfId="1" applyNumberFormat="1" applyFont="1" applyFill="1" applyBorder="1" applyAlignment="1">
      <alignment horizontal="center"/>
    </xf>
    <xf numFmtId="169" fontId="3" fillId="3" borderId="4" xfId="1" applyNumberFormat="1" applyFont="1" applyFill="1" applyBorder="1" applyAlignment="1">
      <alignment horizontal="center"/>
    </xf>
    <xf numFmtId="170" fontId="3" fillId="3" borderId="4" xfId="1" applyNumberFormat="1" applyFont="1" applyFill="1" applyBorder="1" applyAlignment="1">
      <alignment horizontal="center"/>
    </xf>
    <xf numFmtId="171" fontId="3" fillId="3" borderId="4" xfId="1" applyNumberFormat="1" applyFont="1" applyFill="1" applyBorder="1"/>
    <xf numFmtId="171" fontId="3" fillId="3" borderId="9" xfId="1" applyNumberFormat="1" applyFont="1" applyFill="1" applyBorder="1"/>
    <xf numFmtId="167" fontId="1" fillId="0" borderId="9" xfId="27" applyNumberFormat="1" applyFont="1" applyBorder="1"/>
    <xf numFmtId="167" fontId="1" fillId="0" borderId="12" xfId="27" applyNumberFormat="1" applyBorder="1"/>
    <xf numFmtId="173" fontId="3" fillId="3" borderId="4" xfId="1" applyNumberFormat="1" applyFont="1" applyFill="1" applyBorder="1"/>
    <xf numFmtId="0" fontId="0" fillId="0" borderId="0" xfId="0" applyFill="1" applyBorder="1" applyAlignment="1"/>
    <xf numFmtId="164" fontId="0" fillId="0" borderId="14" xfId="0" applyNumberFormat="1" applyFill="1" applyBorder="1" applyAlignment="1"/>
    <xf numFmtId="0" fontId="4" fillId="5" borderId="15" xfId="0" applyFont="1" applyFill="1" applyBorder="1" applyAlignment="1">
      <alignment horizontal="left"/>
    </xf>
    <xf numFmtId="0" fontId="4" fillId="5" borderId="13" xfId="0" applyFont="1" applyFill="1" applyBorder="1" applyAlignment="1">
      <alignment horizontal="left"/>
    </xf>
    <xf numFmtId="0" fontId="0" fillId="0" borderId="16" xfId="0" applyFill="1" applyBorder="1" applyAlignment="1"/>
    <xf numFmtId="0" fontId="5" fillId="6" borderId="0" xfId="0" applyFont="1" applyFill="1" applyBorder="1" applyAlignment="1">
      <alignment horizontal="left"/>
    </xf>
    <xf numFmtId="0" fontId="6" fillId="6" borderId="16" xfId="0" applyFont="1" applyFill="1" applyBorder="1" applyAlignment="1">
      <alignment horizontal="left"/>
    </xf>
    <xf numFmtId="0" fontId="5" fillId="6" borderId="14" xfId="0" applyFont="1" applyFill="1" applyBorder="1" applyAlignment="1">
      <alignment horizontal="left"/>
    </xf>
    <xf numFmtId="0" fontId="7" fillId="5" borderId="13" xfId="0" applyFont="1" applyFill="1" applyBorder="1" applyAlignment="1">
      <alignment horizontal="right"/>
    </xf>
    <xf numFmtId="0" fontId="7" fillId="5" borderId="15" xfId="0" applyFont="1" applyFill="1" applyBorder="1" applyAlignment="1">
      <alignment horizontal="right"/>
    </xf>
    <xf numFmtId="0" fontId="0" fillId="7" borderId="0" xfId="0" applyFill="1" applyBorder="1" applyAlignment="1"/>
    <xf numFmtId="0" fontId="8" fillId="0" borderId="0" xfId="0" applyFont="1" applyFill="1" applyBorder="1" applyAlignment="1">
      <alignment vertical="top" wrapText="1"/>
    </xf>
    <xf numFmtId="165" fontId="0" fillId="0" borderId="0" xfId="0" applyNumberFormat="1" applyFill="1" applyBorder="1" applyAlignment="1"/>
    <xf numFmtId="165" fontId="0" fillId="7" borderId="0" xfId="0" applyNumberFormat="1" applyFill="1" applyBorder="1" applyAlignment="1"/>
    <xf numFmtId="0" fontId="3" fillId="0" borderId="0" xfId="0" applyFont="1"/>
    <xf numFmtId="0" fontId="0" fillId="0" borderId="18" xfId="0" applyFill="1" applyBorder="1" applyAlignment="1"/>
    <xf numFmtId="0" fontId="6" fillId="0" borderId="17" xfId="0" applyFont="1" applyFill="1" applyBorder="1" applyAlignment="1">
      <alignment horizontal="center"/>
    </xf>
    <xf numFmtId="0" fontId="0" fillId="0" borderId="19" xfId="0" applyFill="1" applyBorder="1" applyAlignment="1"/>
    <xf numFmtId="8" fontId="0" fillId="0" borderId="18" xfId="0" applyNumberFormat="1" applyFill="1" applyBorder="1" applyAlignment="1"/>
    <xf numFmtId="44" fontId="0" fillId="0" borderId="19" xfId="0" applyNumberFormat="1" applyFill="1" applyBorder="1" applyAlignment="1"/>
    <xf numFmtId="0" fontId="0" fillId="0" borderId="18" xfId="0" applyNumberFormat="1" applyFill="1" applyBorder="1" applyAlignment="1"/>
    <xf numFmtId="8" fontId="0" fillId="0" borderId="19" xfId="0" applyNumberFormat="1" applyFill="1" applyBorder="1" applyAlignment="1"/>
    <xf numFmtId="0" fontId="0" fillId="0" borderId="19" xfId="0" applyNumberFormat="1" applyFill="1" applyBorder="1" applyAlignment="1"/>
  </cellXfs>
  <cellStyles count="28">
    <cellStyle name="/gl03KLZ2G7YOkWf8Z2psimnCIFIBwOkhuG2k0F4tZyTU+MhzKrHpTKtyM6sU8oJg+Q8sXkNg+eSOwBKmaiguNj23eZVjNBm-~W80u+7XIhFd1V89LkDGzAg==" xfId="8"/>
    <cellStyle name="/QIHdUaV1odGLM4muQINdYy6spXf1vL9SJm7+d66VMJkIPOlMlU+Wfl0ESw4Yye70ZcGicwERZVtdE7WKEvnhPUxhyLNk7Mt-~Bj9ePwSD78tX2kg8Jg0Upg==" xfId="10"/>
    <cellStyle name="4kcUzvid4AREM9mBgXfkL3Q/AjwpPsdVl+9Y8SJhiFj0OuPcH8xGpN+XPzAIczf2gGw26if1cA5B77VoTvSm6UNaRQnPp8Nr-~oM3FiiwgEOkh0H9CsoNfWw==" xfId="14"/>
    <cellStyle name="5nPqXWz9bX6UNWJF9TaYN/ifsP2wrzrkIuD61atSrtQKLS79hQCUHKea4EhW0Eix9QjPR37WHCC9+LMKUlL9U2lixdHOLdDW-~+v2p+4huhNd9/A8VPTreMQ==" xfId="21"/>
    <cellStyle name="6LAlxsnvE+zmqthhZYnlEPV94dbz6kG+7yXEARkfBqvLmtsoi67GMIlbMMaiaaVfjhxt6oG+rCWyb7SMr/sPNUBGQHKht2dP-~j0P/K6Er31uty3+2vZy1/g==" xfId="19"/>
    <cellStyle name="84x9cM8fJx4nOTo6rPesJAHF17EC5sNKbcVWuZe5Ul/prs6JAJAm/mslWYKXpIqliAn+LTIMRJMAMusZVZ1NuMSgCIRd3Nbc-~gPv6DbrdL5ksRR4u+Wz/Qw==" xfId="7"/>
    <cellStyle name="8XAtibuKUs6Q1/eJrOZxYelJYo3V/jgOBDukh7ETnGgIVHhskWzAHKkWQQA2bHu3wBwvx6HvqVq5gbGZcY4Z87TO6JNhMMGi-~U7Y7fUUPjeUoKUUnhyAwpg==" xfId="23"/>
    <cellStyle name="Comma" xfId="27" builtinId="3"/>
    <cellStyle name="Custom Style 1" xfId="1"/>
    <cellStyle name="Custom Style 2" xfId="2"/>
    <cellStyle name="IuFg9IS/gEWdgemiadN99o14G1TtUOXcMBKMzEcSq/0COUhqF1M217Fjo0CNgGRHqnJi//z+sRgj+eRl9FuTGQgizcQv1cgV-~j3g8suhhIszw2kAtyxu3jg==" xfId="18"/>
    <cellStyle name="J8HhjmQagsct71PU2bQBKRIBV1604gBypv8e0MKPmYRkxCidCAawTiSdsnQU3jcYQEdoRhuN8+rodfSEREwZm49TJ7ELSSw+-~uGpRc7FP2YU5pBRi0xmleQ==" xfId="25"/>
    <cellStyle name="kcQaBac3Wx99g5JfSyRprFzzNnV8j4WFI158sshh/3K1jZmrdGXw4iF1DyFrRVP2HJzzlfyn8ptDFZXKQ0TBKtWOCezdRbAZ-~0XNhIrbsPIDlP0RK+0zAgg==" xfId="3"/>
    <cellStyle name="l2OJs0WHMYmEMXIExjPlkZulyLzUURuHeXQZVk3IFYF0DcXDldJuuCr8aezYKByNwY0skEjnXgWwpvCmTvxKSQijW8JqmUVI-~9feSfPdYQO0hCErOFDiLzw==" xfId="15"/>
    <cellStyle name="mNEVNuzjNaOmFTnIHY9UjnACzuA8Dlu45a/8B8xrmz0wu0vQGqKHNSBGvGLImjaWfYj1UjHzfvsYRFD1+kGOi1IQw414Tnth-~VuQvRbbRU3XE8A2MWJHcxA==" xfId="12"/>
    <cellStyle name="nC+O6r0qoJjlW/hS5DAhtJ8i1RmbdWot2U8RinNHYdJ587pNe1dwiXtdKfIviwAMnuWlKYjfg/r3O4LZ3ip+i2bP1ovgYp6d-~AbHWVYa12/EG/rXiCtvuWw==" xfId="6"/>
    <cellStyle name="NhtQ0uJTXFdsrTq1aH/N1JsqrS7X8fFqp78PMufH/+MzvCktUbHgsjl3yflF5vUATYXq+1HJ1RXBCmH85C6MNNo7D4heCK9w-~DQadgBZtj2qxvqzNq60HTg==" xfId="11"/>
    <cellStyle name="Normal" xfId="0" builtinId="0"/>
    <cellStyle name="oHDZkLx8kdR24K7ygAzfvnp/v5GxjLQ1ZLPHijlPs3NiCg6wLpHAyuNLqmVvuwrsHrRjf9zN/77nU8SqefQLookH4G9n3qOI-~8nsb8hQcr/CQ0xGEzvBYcQ==" xfId="4"/>
    <cellStyle name="OyaxBq6EW+Nr+mOGd7RUIzvCXAO/V3smmJQ4YSvssLJkuDlcvxrWcKc1WoEZxfYlbZ6yI77NXM7V7jA3C6PXIRb/cy83QrRC-~J6SU/1l7le2iV3exEStPTQ==" xfId="24"/>
    <cellStyle name="P5JmZpX6qC8ApQsKoUnoRVuANq6JpZPba++6fn/rco99RlS3H/UqYU9YHg5oyvYS6m8o2vZFIStSIrq+JUvUwrAlLDSWoNzy-~22XG5huoTcUqP8YH+emyJg==" xfId="16"/>
    <cellStyle name="Rxf59zUW1v2UhUTDHAWNv0koOp01V1GXtfqvox8R5817ecmBZfWXBFw7MQU0v/SjDV3kyguvz5L5EyyKQJjKbNR3NMBZYS6T-~PaZ7A3NzCvA9GNTM5YFfng==" xfId="9"/>
    <cellStyle name="tErrm7L3CSVlvjTkOFW6yLzdi0dwFlBD5EYELIldbiEJC5TmE4loHS0H3LpcnOFTfSOtxcuV27/zAPn3x7Bx8VrWt0nxfnMg-~UKpJKkcrmX3LN0UDJQDHFA==" xfId="20"/>
    <cellStyle name="up22OwtcVID+vahhDw2SYvO6r9hAGnTTZEqIIZAS3HHF7a+mqTSFga5QvMYBDA6HTBOt4SjYcv5yXkUmKZWDFQiLu7ibUXlr-~5AGSog8e2meuIAKXL86XHg==" xfId="5"/>
    <cellStyle name="UVi54TuNDkvs762ViaNBDjY7La9Dbd0fj9gMPwGkVhVUVNWJxSJ27Qyd+voKYoWJMQU4u1hA7Xtwakouk/LBBY8AOljb0foC-~pES3VGLs1pJNing9SOfJag==" xfId="26"/>
    <cellStyle name="ve79OtFo5xXKGWwDf24X9kWlgN4LiS6NdmeVfFz1eTrQtRIe7R4laTa8C63KgzNtvUrQjxPWDUAOTPLIGxgpwaOMCnXaEQTO-~bfgygxCGLTkb4ur3FTaLBQ==" xfId="17"/>
    <cellStyle name="w3BD7FEUBINQJ1/3Z0kV+Son3Upi+K1kgYk5WgXqdHcr/ljAdQ0F//Qik90OevlnorHvj4UanfZ+7hA+Z2L7X0nHvJPed2+h-~cozLmUNYyW+/BiFPvjoykA==" xfId="22"/>
    <cellStyle name="XVhTc3JMcm3fdoqtBf5u7JWAFqhkLJbucnKcJFWkXyO/5oD8mhOGY8wYXATTkSpyDQOKfRchEByV/dePg+zu2PXrpnsWP0v2-~SP0J38BX7Mtgxzm3QVZdTw==" xfId="1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11"/>
  <sheetViews>
    <sheetView showGridLines="0" workbookViewId="0">
      <selection activeCell="D15" sqref="D15"/>
    </sheetView>
  </sheetViews>
  <sheetFormatPr defaultRowHeight="14.5" outlineLevelRow="1" outlineLevelCol="1" x14ac:dyDescent="0.35"/>
  <cols>
    <col min="2" max="2" width="15.90625" bestFit="1" customWidth="1"/>
    <col min="3" max="6" width="12.54296875" bestFit="1" customWidth="1" outlineLevel="1"/>
  </cols>
  <sheetData>
    <row r="1" spans="1:6" ht="15.5" x14ac:dyDescent="0.35">
      <c r="A1" s="37" t="s">
        <v>30</v>
      </c>
      <c r="B1" s="37"/>
      <c r="C1" s="42"/>
      <c r="D1" s="42"/>
      <c r="E1" s="42"/>
      <c r="F1" s="42"/>
    </row>
    <row r="2" spans="1:6" ht="15.5" collapsed="1" x14ac:dyDescent="0.35">
      <c r="A2" s="36"/>
      <c r="B2" s="36"/>
      <c r="C2" s="43" t="s">
        <v>32</v>
      </c>
      <c r="D2" s="43" t="s">
        <v>27</v>
      </c>
      <c r="E2" s="43" t="s">
        <v>28</v>
      </c>
      <c r="F2" s="43" t="s">
        <v>29</v>
      </c>
    </row>
    <row r="3" spans="1:6" ht="52.5" hidden="1" outlineLevel="1" x14ac:dyDescent="0.35">
      <c r="A3" s="39"/>
      <c r="B3" s="39"/>
      <c r="C3" s="34"/>
      <c r="D3" s="45" t="s">
        <v>38</v>
      </c>
      <c r="E3" s="45" t="s">
        <v>38</v>
      </c>
      <c r="F3" s="45" t="s">
        <v>38</v>
      </c>
    </row>
    <row r="4" spans="1:6" x14ac:dyDescent="0.35">
      <c r="A4" s="40" t="s">
        <v>31</v>
      </c>
      <c r="B4" s="40"/>
      <c r="C4" s="38"/>
      <c r="D4" s="38"/>
      <c r="E4" s="38"/>
      <c r="F4" s="38"/>
    </row>
    <row r="5" spans="1:6" outlineLevel="1" x14ac:dyDescent="0.35">
      <c r="A5" s="39"/>
      <c r="B5" s="39" t="s">
        <v>21</v>
      </c>
      <c r="C5" s="46">
        <v>36297.112840143098</v>
      </c>
      <c r="D5" s="47">
        <v>40000</v>
      </c>
      <c r="E5" s="47">
        <v>50000</v>
      </c>
      <c r="F5" s="47">
        <v>45000</v>
      </c>
    </row>
    <row r="6" spans="1:6" outlineLevel="1" x14ac:dyDescent="0.35">
      <c r="A6" s="39"/>
      <c r="B6" s="39" t="s">
        <v>19</v>
      </c>
      <c r="C6" s="34">
        <v>72</v>
      </c>
      <c r="D6" s="44">
        <v>72</v>
      </c>
      <c r="E6" s="44">
        <v>72</v>
      </c>
      <c r="F6" s="44">
        <v>72</v>
      </c>
    </row>
    <row r="7" spans="1:6" x14ac:dyDescent="0.35">
      <c r="A7" s="40" t="s">
        <v>33</v>
      </c>
      <c r="B7" s="40"/>
      <c r="C7" s="38"/>
      <c r="D7" s="38"/>
      <c r="E7" s="38"/>
      <c r="F7" s="38"/>
    </row>
    <row r="8" spans="1:6" ht="15" outlineLevel="1" thickBot="1" x14ac:dyDescent="0.4">
      <c r="A8" s="41"/>
      <c r="B8" s="41" t="s">
        <v>26</v>
      </c>
      <c r="C8" s="35">
        <v>500</v>
      </c>
      <c r="D8" s="35">
        <v>551.00801234749497</v>
      </c>
      <c r="E8" s="35">
        <v>688.76001543436905</v>
      </c>
      <c r="F8" s="35">
        <v>619.88401389093201</v>
      </c>
    </row>
    <row r="9" spans="1:6" x14ac:dyDescent="0.35">
      <c r="A9" t="s">
        <v>34</v>
      </c>
    </row>
    <row r="10" spans="1:6" x14ac:dyDescent="0.35">
      <c r="A10" t="s">
        <v>35</v>
      </c>
    </row>
    <row r="11" spans="1:6" x14ac:dyDescent="0.35">
      <c r="A11" t="s">
        <v>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3"/>
  <sheetViews>
    <sheetView showGridLines="0" tabSelected="1" topLeftCell="A16" workbookViewId="0"/>
  </sheetViews>
  <sheetFormatPr defaultRowHeight="14.5" x14ac:dyDescent="0.35"/>
  <cols>
    <col min="1" max="1" width="2.1796875" customWidth="1"/>
    <col min="2" max="2" width="11.81640625" customWidth="1"/>
    <col min="3" max="3" width="15.81640625" customWidth="1"/>
    <col min="4" max="4" width="12.453125" bestFit="1" customWidth="1"/>
    <col min="5" max="5" width="12" bestFit="1" customWidth="1"/>
    <col min="6" max="6" width="10.453125" customWidth="1"/>
    <col min="7" max="7" width="6.6328125" customWidth="1"/>
  </cols>
  <sheetData>
    <row r="1" spans="1:5" x14ac:dyDescent="0.35">
      <c r="A1" s="48" t="s">
        <v>39</v>
      </c>
    </row>
    <row r="2" spans="1:5" x14ac:dyDescent="0.35">
      <c r="A2" s="48" t="s">
        <v>40</v>
      </c>
    </row>
    <row r="3" spans="1:5" x14ac:dyDescent="0.35">
      <c r="A3" s="48" t="s">
        <v>41</v>
      </c>
    </row>
    <row r="4" spans="1:5" x14ac:dyDescent="0.35">
      <c r="A4" s="48" t="s">
        <v>42</v>
      </c>
    </row>
    <row r="5" spans="1:5" x14ac:dyDescent="0.35">
      <c r="A5" s="48" t="s">
        <v>43</v>
      </c>
    </row>
    <row r="6" spans="1:5" x14ac:dyDescent="0.35">
      <c r="A6" s="48"/>
      <c r="B6" t="s">
        <v>44</v>
      </c>
    </row>
    <row r="7" spans="1:5" x14ac:dyDescent="0.35">
      <c r="A7" s="48"/>
      <c r="B7" t="s">
        <v>45</v>
      </c>
    </row>
    <row r="8" spans="1:5" x14ac:dyDescent="0.35">
      <c r="A8" s="48"/>
      <c r="B8" t="s">
        <v>46</v>
      </c>
    </row>
    <row r="9" spans="1:5" x14ac:dyDescent="0.35">
      <c r="A9" s="48" t="s">
        <v>47</v>
      </c>
    </row>
    <row r="10" spans="1:5" x14ac:dyDescent="0.35">
      <c r="B10" t="s">
        <v>48</v>
      </c>
    </row>
    <row r="11" spans="1:5" x14ac:dyDescent="0.35">
      <c r="B11" t="s">
        <v>49</v>
      </c>
    </row>
    <row r="12" spans="1:5" x14ac:dyDescent="0.35">
      <c r="B12" t="s">
        <v>50</v>
      </c>
    </row>
    <row r="14" spans="1:5" ht="15" thickBot="1" x14ac:dyDescent="0.4">
      <c r="A14" t="s">
        <v>51</v>
      </c>
    </row>
    <row r="15" spans="1:5" ht="15" thickBot="1" x14ac:dyDescent="0.4">
      <c r="B15" s="50" t="s">
        <v>52</v>
      </c>
      <c r="C15" s="50" t="s">
        <v>53</v>
      </c>
      <c r="D15" s="50" t="s">
        <v>54</v>
      </c>
      <c r="E15" s="50" t="s">
        <v>55</v>
      </c>
    </row>
    <row r="16" spans="1:5" ht="15" thickBot="1" x14ac:dyDescent="0.4">
      <c r="B16" s="49" t="s">
        <v>26</v>
      </c>
      <c r="C16" s="49" t="s">
        <v>7</v>
      </c>
      <c r="D16" s="52">
        <v>499.99999999999966</v>
      </c>
      <c r="E16" s="52">
        <v>500.00015364776942</v>
      </c>
    </row>
    <row r="19" spans="1:7" ht="15" thickBot="1" x14ac:dyDescent="0.4">
      <c r="A19" t="s">
        <v>56</v>
      </c>
    </row>
    <row r="20" spans="1:7" ht="15" thickBot="1" x14ac:dyDescent="0.4">
      <c r="B20" s="50" t="s">
        <v>52</v>
      </c>
      <c r="C20" s="50" t="s">
        <v>53</v>
      </c>
      <c r="D20" s="50" t="s">
        <v>54</v>
      </c>
      <c r="E20" s="50" t="s">
        <v>55</v>
      </c>
      <c r="F20" s="50" t="s">
        <v>57</v>
      </c>
    </row>
    <row r="21" spans="1:7" x14ac:dyDescent="0.35">
      <c r="B21" s="51" t="s">
        <v>63</v>
      </c>
      <c r="C21" s="51" t="s">
        <v>21</v>
      </c>
      <c r="D21" s="53">
        <v>36297.112840143098</v>
      </c>
      <c r="E21" s="53">
        <v>32137</v>
      </c>
      <c r="F21" s="51" t="s">
        <v>57</v>
      </c>
    </row>
    <row r="22" spans="1:7" ht="15" thickBot="1" x14ac:dyDescent="0.4">
      <c r="B22" s="49" t="s">
        <v>64</v>
      </c>
      <c r="C22" s="49" t="s">
        <v>19</v>
      </c>
      <c r="D22" s="54">
        <v>72</v>
      </c>
      <c r="E22" s="54">
        <v>63</v>
      </c>
      <c r="F22" s="49" t="s">
        <v>57</v>
      </c>
    </row>
    <row r="25" spans="1:7" ht="15" thickBot="1" x14ac:dyDescent="0.4">
      <c r="A25" t="s">
        <v>58</v>
      </c>
    </row>
    <row r="26" spans="1:7" ht="15" thickBot="1" x14ac:dyDescent="0.4">
      <c r="B26" s="50" t="s">
        <v>52</v>
      </c>
      <c r="C26" s="50" t="s">
        <v>53</v>
      </c>
      <c r="D26" s="50" t="s">
        <v>59</v>
      </c>
      <c r="E26" s="50" t="s">
        <v>60</v>
      </c>
      <c r="F26" s="50" t="s">
        <v>61</v>
      </c>
      <c r="G26" s="50" t="s">
        <v>62</v>
      </c>
    </row>
    <row r="27" spans="1:7" x14ac:dyDescent="0.35">
      <c r="B27" s="51" t="s">
        <v>26</v>
      </c>
      <c r="C27" s="51" t="s">
        <v>7</v>
      </c>
      <c r="D27" s="55">
        <v>500.00015364776942</v>
      </c>
      <c r="E27" s="51" t="s">
        <v>65</v>
      </c>
      <c r="F27" s="51" t="s">
        <v>66</v>
      </c>
      <c r="G27" s="51">
        <v>0</v>
      </c>
    </row>
    <row r="28" spans="1:7" x14ac:dyDescent="0.35">
      <c r="B28" s="51" t="s">
        <v>64</v>
      </c>
      <c r="C28" s="51" t="s">
        <v>19</v>
      </c>
      <c r="D28" s="56">
        <v>63</v>
      </c>
      <c r="E28" s="51" t="s">
        <v>67</v>
      </c>
      <c r="F28" s="51" t="s">
        <v>66</v>
      </c>
      <c r="G28" s="51">
        <v>0</v>
      </c>
    </row>
    <row r="29" spans="1:7" x14ac:dyDescent="0.35">
      <c r="B29" s="51" t="s">
        <v>64</v>
      </c>
      <c r="C29" s="51" t="s">
        <v>19</v>
      </c>
      <c r="D29" s="56">
        <v>63</v>
      </c>
      <c r="E29" s="51" t="s">
        <v>68</v>
      </c>
      <c r="F29" s="51" t="s">
        <v>69</v>
      </c>
      <c r="G29" s="56">
        <v>39</v>
      </c>
    </row>
    <row r="30" spans="1:7" x14ac:dyDescent="0.35">
      <c r="B30" s="51" t="s">
        <v>63</v>
      </c>
      <c r="C30" s="51" t="s">
        <v>21</v>
      </c>
      <c r="D30" s="53">
        <v>32137</v>
      </c>
      <c r="E30" s="51" t="s">
        <v>70</v>
      </c>
      <c r="F30" s="51" t="s">
        <v>69</v>
      </c>
      <c r="G30" s="51">
        <v>467</v>
      </c>
    </row>
    <row r="31" spans="1:7" x14ac:dyDescent="0.35">
      <c r="B31" s="51" t="s">
        <v>63</v>
      </c>
      <c r="C31" s="51" t="s">
        <v>21</v>
      </c>
      <c r="D31" s="53">
        <v>32137</v>
      </c>
      <c r="E31" s="51" t="s">
        <v>71</v>
      </c>
      <c r="F31" s="51" t="s">
        <v>66</v>
      </c>
      <c r="G31" s="53">
        <v>0</v>
      </c>
    </row>
    <row r="32" spans="1:7" x14ac:dyDescent="0.35">
      <c r="B32" s="51" t="s">
        <v>72</v>
      </c>
      <c r="C32" s="51"/>
      <c r="D32" s="51"/>
      <c r="E32" s="51"/>
      <c r="F32" s="51"/>
      <c r="G32" s="51"/>
    </row>
    <row r="33" spans="2:7" ht="15" thickBot="1" x14ac:dyDescent="0.4">
      <c r="B33" s="49" t="s">
        <v>73</v>
      </c>
      <c r="C33" s="49"/>
      <c r="D33" s="49"/>
      <c r="E33" s="49"/>
      <c r="F33" s="49"/>
      <c r="G33" s="4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16"/>
  <sheetViews>
    <sheetView workbookViewId="0">
      <selection activeCell="E21" sqref="E21"/>
    </sheetView>
  </sheetViews>
  <sheetFormatPr defaultRowHeight="14.5" x14ac:dyDescent="0.35"/>
  <cols>
    <col min="1" max="1" width="4.7265625" customWidth="1"/>
    <col min="2" max="2" width="22.36328125" bestFit="1" customWidth="1"/>
    <col min="3" max="3" width="11.54296875" bestFit="1" customWidth="1"/>
    <col min="4" max="4" width="5.36328125" customWidth="1"/>
    <col min="5" max="5" width="13.54296875" customWidth="1"/>
    <col min="6" max="6" width="13.54296875" bestFit="1" customWidth="1"/>
    <col min="7" max="7" width="10.08984375" bestFit="1" customWidth="1"/>
    <col min="8" max="8" width="11.81640625" bestFit="1" customWidth="1"/>
    <col min="9" max="9" width="4.90625" customWidth="1"/>
    <col min="10" max="10" width="13.08984375" bestFit="1" customWidth="1"/>
    <col min="11" max="11" width="11.08984375" bestFit="1" customWidth="1"/>
    <col min="12" max="13" width="12.08984375" bestFit="1" customWidth="1"/>
  </cols>
  <sheetData>
    <row r="1" spans="2:13" ht="15" thickBot="1" x14ac:dyDescent="0.4"/>
    <row r="2" spans="2:13" ht="31.5" thickBot="1" x14ac:dyDescent="0.75">
      <c r="B2" s="20"/>
      <c r="C2" s="21"/>
      <c r="D2" s="21"/>
      <c r="E2" s="1" t="s">
        <v>0</v>
      </c>
      <c r="F2" s="21"/>
      <c r="G2" s="21"/>
      <c r="H2" s="21"/>
      <c r="I2" s="21"/>
      <c r="J2" s="21"/>
      <c r="K2" s="21"/>
      <c r="L2" s="21"/>
      <c r="M2" s="2"/>
    </row>
    <row r="3" spans="2:13" x14ac:dyDescent="0.35">
      <c r="B3" s="10"/>
      <c r="C3" s="9"/>
      <c r="D3" s="9"/>
      <c r="E3" s="9"/>
      <c r="F3" s="9"/>
      <c r="G3" s="9"/>
      <c r="H3" s="9"/>
      <c r="I3" s="9"/>
      <c r="J3" s="9"/>
      <c r="K3" s="9"/>
      <c r="L3" s="9"/>
      <c r="M3" s="11"/>
    </row>
    <row r="4" spans="2:13" x14ac:dyDescent="0.35">
      <c r="B4" s="15" t="s">
        <v>5</v>
      </c>
      <c r="C4" s="8"/>
      <c r="D4" s="8"/>
      <c r="E4" s="7" t="s">
        <v>1</v>
      </c>
      <c r="F4" s="26">
        <f>Down_Payment_Amount</f>
        <v>3213.7000000000003</v>
      </c>
      <c r="G4" s="27">
        <f>Tax</f>
        <v>2249.59</v>
      </c>
      <c r="H4" s="28">
        <f>C15</f>
        <v>500.00015364776942</v>
      </c>
      <c r="I4" s="8"/>
      <c r="J4" s="33">
        <f>C15</f>
        <v>500.00015364776942</v>
      </c>
      <c r="K4" s="29">
        <v>5000</v>
      </c>
      <c r="L4" s="29">
        <v>10000</v>
      </c>
      <c r="M4" s="30">
        <v>15000</v>
      </c>
    </row>
    <row r="5" spans="2:13" x14ac:dyDescent="0.35">
      <c r="B5" s="12" t="s">
        <v>1</v>
      </c>
      <c r="C5" s="17">
        <v>32137</v>
      </c>
      <c r="D5" s="8"/>
      <c r="E5" s="22">
        <v>20000</v>
      </c>
      <c r="F5" s="24">
        <f t="dataTable" ref="F5:H16" dt2D="0" dtr="0" r1="C5" ca="1"/>
        <v>2000</v>
      </c>
      <c r="G5" s="24">
        <v>1400.0000000000002</v>
      </c>
      <c r="H5" s="24">
        <v>311.16790842192449</v>
      </c>
      <c r="I5" s="8"/>
      <c r="J5" s="22">
        <v>20000</v>
      </c>
      <c r="K5" s="24">
        <f t="dataTable" ref="K5:M16" dt2D="1" dtr="1" r1="C12" r2="C5"/>
        <v>259.30659035160375</v>
      </c>
      <c r="L5" s="24">
        <v>172.87106023440251</v>
      </c>
      <c r="M5" s="31">
        <v>86.435530117201253</v>
      </c>
    </row>
    <row r="6" spans="2:13" x14ac:dyDescent="0.35">
      <c r="B6" s="12" t="s">
        <v>8</v>
      </c>
      <c r="C6" s="16">
        <v>7.0000000000000007E-2</v>
      </c>
      <c r="D6" s="8"/>
      <c r="E6" s="22">
        <v>25000</v>
      </c>
      <c r="F6" s="24">
        <v>2500</v>
      </c>
      <c r="G6" s="24">
        <v>1750.0000000000002</v>
      </c>
      <c r="H6" s="24">
        <v>388.95988552740562</v>
      </c>
      <c r="I6" s="8"/>
      <c r="J6" s="22">
        <v>25000</v>
      </c>
      <c r="K6" s="24">
        <v>345.74212046880501</v>
      </c>
      <c r="L6" s="24">
        <v>259.30659035160375</v>
      </c>
      <c r="M6" s="31">
        <v>172.87106023440251</v>
      </c>
    </row>
    <row r="7" spans="2:13" x14ac:dyDescent="0.35">
      <c r="B7" s="12" t="s">
        <v>2</v>
      </c>
      <c r="C7" s="4">
        <v>0.1</v>
      </c>
      <c r="D7" s="8"/>
      <c r="E7" s="22">
        <v>30000</v>
      </c>
      <c r="F7" s="24">
        <v>3000</v>
      </c>
      <c r="G7" s="24">
        <v>2100</v>
      </c>
      <c r="H7" s="24">
        <v>466.7518626328868</v>
      </c>
      <c r="I7" s="8"/>
      <c r="J7" s="22">
        <v>30000</v>
      </c>
      <c r="K7" s="24">
        <v>432.17765058600622</v>
      </c>
      <c r="L7" s="24">
        <v>345.74212046880501</v>
      </c>
      <c r="M7" s="31">
        <v>259.30659035160375</v>
      </c>
    </row>
    <row r="8" spans="2:13" x14ac:dyDescent="0.35">
      <c r="B8" s="12" t="s">
        <v>9</v>
      </c>
      <c r="C8" s="8">
        <v>63</v>
      </c>
      <c r="D8" s="8"/>
      <c r="E8" s="22">
        <v>35000</v>
      </c>
      <c r="F8" s="24">
        <v>3500</v>
      </c>
      <c r="G8" s="24">
        <v>2450.0000000000005</v>
      </c>
      <c r="H8" s="24">
        <v>544.54383973836798</v>
      </c>
      <c r="I8" s="8"/>
      <c r="J8" s="22">
        <v>35000</v>
      </c>
      <c r="K8" s="24">
        <v>518.61318070320749</v>
      </c>
      <c r="L8" s="24">
        <v>432.17765058600622</v>
      </c>
      <c r="M8" s="31">
        <v>345.74212046880501</v>
      </c>
    </row>
    <row r="9" spans="2:13" x14ac:dyDescent="0.35">
      <c r="B9" s="12" t="s">
        <v>4</v>
      </c>
      <c r="C9" s="19">
        <v>3.2500000000000001E-2</v>
      </c>
      <c r="D9" s="8"/>
      <c r="E9" s="22">
        <v>40000</v>
      </c>
      <c r="F9" s="24">
        <v>4000</v>
      </c>
      <c r="G9" s="24">
        <v>2800.0000000000005</v>
      </c>
      <c r="H9" s="24">
        <v>622.33581684384899</v>
      </c>
      <c r="I9" s="8"/>
      <c r="J9" s="22">
        <v>40000</v>
      </c>
      <c r="K9" s="24">
        <v>605.0487108204087</v>
      </c>
      <c r="L9" s="24">
        <v>518.61318070320749</v>
      </c>
      <c r="M9" s="31">
        <v>432.17765058600622</v>
      </c>
    </row>
    <row r="10" spans="2:13" x14ac:dyDescent="0.35">
      <c r="B10" s="12"/>
      <c r="C10" s="8"/>
      <c r="D10" s="8"/>
      <c r="E10" s="22">
        <v>45000</v>
      </c>
      <c r="F10" s="24">
        <v>4500</v>
      </c>
      <c r="G10" s="24">
        <v>3150.0000000000005</v>
      </c>
      <c r="H10" s="24">
        <v>700.12779394933011</v>
      </c>
      <c r="I10" s="8"/>
      <c r="J10" s="22">
        <v>45000</v>
      </c>
      <c r="K10" s="24">
        <v>691.48424093761002</v>
      </c>
      <c r="L10" s="24">
        <v>605.0487108204087</v>
      </c>
      <c r="M10" s="31">
        <v>518.61318070320749</v>
      </c>
    </row>
    <row r="11" spans="2:13" x14ac:dyDescent="0.35">
      <c r="B11" s="15" t="s">
        <v>6</v>
      </c>
      <c r="C11" s="8"/>
      <c r="D11" s="8"/>
      <c r="E11" s="22">
        <v>50000</v>
      </c>
      <c r="F11" s="24">
        <v>5000</v>
      </c>
      <c r="G11" s="24">
        <v>3500.0000000000005</v>
      </c>
      <c r="H11" s="24">
        <v>777.91977105481124</v>
      </c>
      <c r="I11" s="8"/>
      <c r="J11" s="22">
        <v>50000</v>
      </c>
      <c r="K11" s="24">
        <v>777.91977105481124</v>
      </c>
      <c r="L11" s="24">
        <v>691.48424093761002</v>
      </c>
      <c r="M11" s="31">
        <v>605.0487108204087</v>
      </c>
    </row>
    <row r="12" spans="2:13" x14ac:dyDescent="0.35">
      <c r="B12" s="6" t="s">
        <v>10</v>
      </c>
      <c r="C12" s="18">
        <f>C5*C7</f>
        <v>3213.7000000000003</v>
      </c>
      <c r="D12" s="8"/>
      <c r="E12" s="22">
        <v>55000</v>
      </c>
      <c r="F12" s="24">
        <v>5500</v>
      </c>
      <c r="G12" s="24">
        <v>3850.0000000000005</v>
      </c>
      <c r="H12" s="24">
        <v>855.71174816029236</v>
      </c>
      <c r="I12" s="8"/>
      <c r="J12" s="22">
        <v>55000</v>
      </c>
      <c r="K12" s="24">
        <v>864.35530117201245</v>
      </c>
      <c r="L12" s="24">
        <v>777.91977105481124</v>
      </c>
      <c r="M12" s="31">
        <v>691.48424093761002</v>
      </c>
    </row>
    <row r="13" spans="2:13" x14ac:dyDescent="0.35">
      <c r="B13" s="6" t="s">
        <v>3</v>
      </c>
      <c r="C13" s="18">
        <f>C5-Down_Payment_Amount</f>
        <v>28923.3</v>
      </c>
      <c r="D13" s="8"/>
      <c r="E13" s="22">
        <v>60000</v>
      </c>
      <c r="F13" s="24">
        <v>6000</v>
      </c>
      <c r="G13" s="24">
        <v>4200</v>
      </c>
      <c r="H13" s="24">
        <v>933.5037252657736</v>
      </c>
      <c r="I13" s="8"/>
      <c r="J13" s="22">
        <v>60000</v>
      </c>
      <c r="K13" s="24">
        <v>950.79083128921377</v>
      </c>
      <c r="L13" s="24">
        <v>864.35530117201245</v>
      </c>
      <c r="M13" s="31">
        <v>777.91977105481124</v>
      </c>
    </row>
    <row r="14" spans="2:13" x14ac:dyDescent="0.35">
      <c r="B14" s="12" t="s">
        <v>11</v>
      </c>
      <c r="C14" s="5">
        <f>C5*C6</f>
        <v>2249.59</v>
      </c>
      <c r="D14" s="8"/>
      <c r="E14" s="22">
        <v>65000</v>
      </c>
      <c r="F14" s="24">
        <v>6500</v>
      </c>
      <c r="G14" s="24">
        <v>4550</v>
      </c>
      <c r="H14" s="24">
        <v>1011.2957023712547</v>
      </c>
      <c r="I14" s="8"/>
      <c r="J14" s="22">
        <v>65000</v>
      </c>
      <c r="K14" s="24">
        <v>1037.226361406415</v>
      </c>
      <c r="L14" s="24">
        <v>950.79083128921377</v>
      </c>
      <c r="M14" s="31">
        <v>864.35530117201245</v>
      </c>
    </row>
    <row r="15" spans="2:13" x14ac:dyDescent="0.35">
      <c r="B15" s="12" t="s">
        <v>7</v>
      </c>
      <c r="C15" s="3">
        <f>PMT(APR/12,Months_Financed,-Amount_Financed)</f>
        <v>500.00015364776942</v>
      </c>
      <c r="D15" s="8"/>
      <c r="E15" s="22">
        <v>70000</v>
      </c>
      <c r="F15" s="24">
        <v>7000</v>
      </c>
      <c r="G15" s="24">
        <v>4900.0000000000009</v>
      </c>
      <c r="H15" s="24">
        <v>1089.087679476736</v>
      </c>
      <c r="I15" s="8"/>
      <c r="J15" s="22">
        <v>70000</v>
      </c>
      <c r="K15" s="24">
        <v>1123.6618915236163</v>
      </c>
      <c r="L15" s="24">
        <v>1037.226361406415</v>
      </c>
      <c r="M15" s="31">
        <v>950.79083128921377</v>
      </c>
    </row>
    <row r="16" spans="2:13" ht="15" thickBot="1" x14ac:dyDescent="0.4">
      <c r="B16" s="13"/>
      <c r="C16" s="14"/>
      <c r="D16" s="14"/>
      <c r="E16" s="23">
        <v>75000</v>
      </c>
      <c r="F16" s="25">
        <v>7500</v>
      </c>
      <c r="G16" s="25">
        <v>5250.0000000000009</v>
      </c>
      <c r="H16" s="25">
        <v>1166.8796565822167</v>
      </c>
      <c r="I16" s="14"/>
      <c r="J16" s="23">
        <v>75000</v>
      </c>
      <c r="K16" s="25">
        <v>1210.0974216408174</v>
      </c>
      <c r="L16" s="25">
        <v>1123.6618915236163</v>
      </c>
      <c r="M16" s="32">
        <v>1037.226361406415</v>
      </c>
    </row>
  </sheetData>
  <scenarios current="2" sqref="C15">
    <scenario name="Best Case" locked="1" count="2" user="Moorche" comment="Created by Moorche on 26/02/2026_x000a_Modified by Moorche on 26/02/2026">
      <inputCells r="C5" val="40000" numFmtId="165"/>
      <inputCells r="C8" val="72"/>
    </scenario>
    <scenario name="Worst Case" locked="1" count="2" user="Moorche" comment="Created by Moorche on 26/02/2026_x000a_Modified by Moorche on 26/02/2026">
      <inputCells r="C5" val="50000" numFmtId="165"/>
      <inputCells r="C8" val="72"/>
    </scenario>
    <scenario name="Most Likely " locked="1" count="2" user="Moorche" comment="Created by Moorche on 26/02/2026_x000a_Modified by Moorche on 26/02/2026">
      <inputCells r="C5" val="45000" numFmtId="165"/>
      <inputCells r="C8" val="72"/>
    </scenario>
  </scenarios>
  <pageMargins left="0.7" right="0.7" top="0.75" bottom="0.75" header="0.3" footer="0.3"/>
  <pageSetup orientation="portrait" horizont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>
      <selection activeCell="D15" sqref="D15"/>
    </sheetView>
  </sheetViews>
  <sheetFormatPr defaultRowHeight="14.5" x14ac:dyDescent="0.35"/>
  <cols>
    <col min="1" max="1" width="22" bestFit="1" customWidth="1"/>
  </cols>
  <sheetData>
    <row r="1" spans="1:2" x14ac:dyDescent="0.35">
      <c r="A1" t="s">
        <v>12</v>
      </c>
      <c r="B1" t="s">
        <v>13</v>
      </c>
    </row>
    <row r="2" spans="1:2" x14ac:dyDescent="0.35">
      <c r="A2" t="s">
        <v>4</v>
      </c>
      <c r="B2" t="s">
        <v>14</v>
      </c>
    </row>
    <row r="3" spans="1:2" x14ac:dyDescent="0.35">
      <c r="A3" t="s">
        <v>15</v>
      </c>
      <c r="B3" t="s">
        <v>16</v>
      </c>
    </row>
    <row r="4" spans="1:2" x14ac:dyDescent="0.35">
      <c r="A4" t="s">
        <v>17</v>
      </c>
      <c r="B4" t="s">
        <v>18</v>
      </c>
    </row>
    <row r="5" spans="1:2" x14ac:dyDescent="0.35">
      <c r="A5" t="s">
        <v>19</v>
      </c>
      <c r="B5" t="s">
        <v>20</v>
      </c>
    </row>
    <row r="6" spans="1:2" x14ac:dyDescent="0.35">
      <c r="A6" t="s">
        <v>21</v>
      </c>
      <c r="B6" t="s">
        <v>22</v>
      </c>
    </row>
    <row r="7" spans="1:2" x14ac:dyDescent="0.35">
      <c r="A7" t="s">
        <v>23</v>
      </c>
      <c r="B7" t="s">
        <v>24</v>
      </c>
    </row>
    <row r="8" spans="1:2" x14ac:dyDescent="0.35">
      <c r="A8" t="s">
        <v>37</v>
      </c>
      <c r="B8" t="s">
        <v>25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project>
  <id>2HxM57aJ9YyQiGOxInrsxjiwjmwPiDaufoEF9ddu9jqeojmo8sJAir9ETw1814x5TKzsjVr2Xn5hBHX59N5olU7kyQt4Yj24-~LIl4W3k0/dUjfi4vVvDESA==#@#15210102#@#6/10/2021 11:33:24 AM</id>
</project>
</file>

<file path=customXml/itemProps1.xml><?xml version="1.0" encoding="utf-8"?>
<ds:datastoreItem xmlns:ds="http://schemas.openxmlformats.org/officeDocument/2006/customXml" ds:itemID="{D6A77644-548B-4DE6-8F8A-08354A9CDBCC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HeadingPairs>
  <TitlesOfParts>
    <vt:vector size="12" baseType="lpstr">
      <vt:lpstr>Scenario Summary</vt:lpstr>
      <vt:lpstr>Answer Report 1</vt:lpstr>
      <vt:lpstr>Finance Worksheet</vt:lpstr>
      <vt:lpstr>Range Names</vt:lpstr>
      <vt:lpstr>Amount_Financed</vt:lpstr>
      <vt:lpstr>APR</vt:lpstr>
      <vt:lpstr>Down_Payment</vt:lpstr>
      <vt:lpstr>Down_Payment_Amount</vt:lpstr>
      <vt:lpstr>Months_Financed</vt:lpstr>
      <vt:lpstr>Purchase_Price</vt:lpstr>
      <vt:lpstr>Sales_Tax</vt:lpstr>
      <vt:lpstr>Tax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Exploring Series</dc:creator>
  <cp:lastModifiedBy>Moorche</cp:lastModifiedBy>
  <dcterms:created xsi:type="dcterms:W3CDTF">2021-04-01T11:30:40Z</dcterms:created>
  <dcterms:modified xsi:type="dcterms:W3CDTF">2026-02-26T14:24:39Z</dcterms:modified>
</cp:coreProperties>
</file>