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2F068FA-091F-498F-BD3E-E5DE0605FB30}" xr6:coauthVersionLast="47" xr6:coauthVersionMax="47" xr10:uidLastSave="{00000000-0000-0000-0000-000000000000}"/>
  <bookViews>
    <workbookView xWindow="0" yWindow="0" windowWidth="19200" windowHeight="8300" activeTab="1" xr2:uid="{00000000-000D-0000-FFFF-FFFF00000000}"/>
  </bookViews>
  <sheets>
    <sheet name="Calculations" sheetId="2" r:id="rId1"/>
    <sheet name="Bonus_Calculation" sheetId="1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C5" i="2"/>
  <c r="C4" i="2"/>
  <c r="C21" i="2" l="1"/>
  <c r="C20" i="2"/>
  <c r="C19" i="2"/>
  <c r="G10" i="2"/>
  <c r="F19" i="2" s="1" a="1"/>
  <c r="F1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<sst xmlns="http://schemas.openxmlformats.org/spreadsheetml/2006/main" count="44" uniqueCount="19">
  <si>
    <t>Milo Real Estate and Rentals</t>
  </si>
  <si>
    <t>Inputs and Constants</t>
  </si>
  <si>
    <t>Bonus Data</t>
  </si>
  <si>
    <t>Date:</t>
  </si>
  <si>
    <t>Sales</t>
  </si>
  <si>
    <t>&lt;3 Years of Service</t>
  </si>
  <si>
    <t>&gt;=3 Years of Service</t>
  </si>
  <si>
    <t>Number of Agents</t>
  </si>
  <si>
    <t>Bonus Increase Cut Off</t>
  </si>
  <si>
    <t>Agent ID</t>
  </si>
  <si>
    <t>Years of Service</t>
  </si>
  <si>
    <t>Base Annual Salary</t>
  </si>
  <si>
    <t>Total sales generated</t>
  </si>
  <si>
    <t>Bonus</t>
  </si>
  <si>
    <t>Monthly Take Home</t>
  </si>
  <si>
    <t>Statistics</t>
  </si>
  <si>
    <t>Lowest Bonus</t>
  </si>
  <si>
    <t>Average Bonus</t>
  </si>
  <si>
    <t>Highest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</si>
</sst>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6" tint="-0.49998474074526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1" applyNumberFormat="0" applyAlignment="0" applyProtection="0"/>
  </cellStyleXfs>
  <cellXfs count="11">
    <xf numFmtId="0" fontId="0" fillId="0" borderId="0" xfId="0"/>
    <xf numFmtId="44" fontId="0" fillId="0" borderId="0" xfId="1" applyFont="1"/>
    <xf numFmtId="9" fontId="0" fillId="0" borderId="0" xfId="0" applyNumberFormat="1"/>
    <xf numFmtId="14" fontId="0" fillId="0" borderId="0" xfId="0" applyNumberFormat="1"/>
    <xf numFmtId="0" fontId="2" fillId="0" borderId="0" xfId="0" applyFont="1"/>
    <xf numFmtId="0" fontId="4" fillId="3" borderId="1" xfId="3" applyAlignment="1">
      <alignment horizontal="center" vertical="center"/>
    </xf>
    <xf numFmtId="0" fontId="3" fillId="2" borderId="1" xfId="2" applyBorder="1" applyAlignment="1"/>
    <xf numFmtId="0" fontId="5" fillId="2" borderId="1" xfId="2" applyFont="1" applyBorder="1" applyAlignment="1"/>
    <xf numFmtId="44" fontId="0" fillId="0" borderId="0" xfId="0" applyNumberFormat="1"/>
    <xf numFmtId="44" fontId="0" fillId="0" borderId="0" xfId="1" applyFont="1" applyAlignment="1">
      <alignment wrapText="1"/>
    </xf>
    <xf numFmtId="164" fontId="0" fillId="0" borderId="0" xfId="1" applyNumberFormat="1" applyFont="1"/>
  </cellXfs>
  <cellStyles count="4">
    <cellStyle name="Currency" xfId="1" builtinId="4"/>
    <cellStyle name="Neutral" xfId="2" builtinId="2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8658-B8EE-4CB6-88C0-92BB1F462EC0}">
  <dimension ref="B1:G21"/>
  <sheetViews>
    <sheetView workbookViewId="0"/>
  </sheetViews>
  <sheetFormatPr defaultRowHeight="15"/>
  <cols>
    <col min="1" max="1" width="4.5703125" customWidth="1"/>
    <col min="2" max="2" width="21.42578125" bestFit="1" customWidth="1"/>
    <col min="3" max="3" width="17.5703125" customWidth="1"/>
    <col min="4" max="5" width="21.5703125" customWidth="1"/>
    <col min="6" max="6" width="36.5703125" bestFit="1" customWidth="1"/>
    <col min="7" max="7" width="21" customWidth="1"/>
  </cols>
  <sheetData>
    <row r="1" spans="2:7" ht="33.6">
      <c r="C1" s="4" t="s">
        <v>0</v>
      </c>
      <c r="E1" s="4"/>
      <c r="F1" s="4"/>
      <c r="G1" s="4"/>
    </row>
    <row r="3" spans="2:7" ht="14.45">
      <c r="B3" s="7" t="s">
        <v>1</v>
      </c>
      <c r="C3" s="6"/>
      <c r="E3" s="6"/>
      <c r="F3" s="7" t="s">
        <v>2</v>
      </c>
      <c r="G3" s="6"/>
    </row>
    <row r="4" spans="2:7" ht="14.45">
      <c r="B4" t="s">
        <v>3</v>
      </c>
      <c r="C4" s="3">
        <f ca="1">TODAY()</f>
        <v>46074</v>
      </c>
      <c r="E4" t="s">
        <v>4</v>
      </c>
      <c r="F4" t="s">
        <v>5</v>
      </c>
      <c r="G4" t="s">
        <v>6</v>
      </c>
    </row>
    <row r="5" spans="2:7" ht="14.45">
      <c r="B5" t="s">
        <v>7</v>
      </c>
      <c r="C5">
        <f>COUNT(B10:B16)</f>
        <v>7</v>
      </c>
      <c r="E5" s="1">
        <v>25000</v>
      </c>
      <c r="F5" s="2">
        <v>0.01</v>
      </c>
      <c r="G5" s="2">
        <v>0.02</v>
      </c>
    </row>
    <row r="6" spans="2:7" ht="14.45">
      <c r="B6" t="s">
        <v>8</v>
      </c>
      <c r="C6">
        <v>3</v>
      </c>
      <c r="E6" s="1">
        <v>250000</v>
      </c>
      <c r="F6" s="2">
        <v>0.02</v>
      </c>
      <c r="G6" s="2">
        <v>0.04</v>
      </c>
    </row>
    <row r="7" spans="2:7" ht="14.45">
      <c r="E7" s="1">
        <v>1000000</v>
      </c>
      <c r="F7" s="2">
        <v>0.04</v>
      </c>
      <c r="G7" s="2">
        <v>0.06</v>
      </c>
    </row>
    <row r="8" spans="2:7" ht="12" customHeight="1"/>
    <row r="9" spans="2:7" ht="22.5" customHeight="1"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</row>
    <row r="10" spans="2:7">
      <c r="B10">
        <v>80676307</v>
      </c>
      <c r="C10">
        <v>1</v>
      </c>
      <c r="D10" s="1">
        <v>68621</v>
      </c>
      <c r="E10" s="1">
        <v>50000</v>
      </c>
      <c r="F10" s="9">
        <f>IF(
  C10&lt;$C$6,
  _xlfn.XLOOKUP(E10,$E$5:$E$7,$F$5:$F$7,0,-1)*E10,
  _xlfn.XLOOKUP(E10,$E$5:$E$7,$G$5:$G$7,0,-1)*E10
)</f>
        <v>500</v>
      </c>
      <c r="G10" s="8">
        <f>(D10/12)+F10</f>
        <v>6218.416666666667</v>
      </c>
    </row>
    <row r="11" spans="2:7">
      <c r="B11">
        <v>76847158</v>
      </c>
      <c r="C11">
        <v>2</v>
      </c>
      <c r="D11" s="1">
        <v>65411</v>
      </c>
      <c r="E11" s="1">
        <v>60000</v>
      </c>
      <c r="F11" s="9">
        <f t="shared" ref="F11:F16" si="0">IF(
  C11&lt;$C$6,
  _xlfn.XLOOKUP(E11,$E$5:$E$7,$F$5:$F$7,0,-1)*E11,
  _xlfn.XLOOKUP(E11,$E$5:$E$7,$G$5:$G$7,0,-1)*E11
)</f>
        <v>600</v>
      </c>
      <c r="G11" s="8">
        <f t="shared" ref="G11:G16" si="1">(D11/12)+F11</f>
        <v>6050.916666666667</v>
      </c>
    </row>
    <row r="12" spans="2:7">
      <c r="B12">
        <v>28248332</v>
      </c>
      <c r="C12">
        <v>9</v>
      </c>
      <c r="D12" s="1">
        <v>68308</v>
      </c>
      <c r="E12" s="1">
        <v>84000</v>
      </c>
      <c r="F12" s="9">
        <f t="shared" si="0"/>
        <v>1680</v>
      </c>
      <c r="G12" s="8">
        <f t="shared" si="1"/>
        <v>7372.333333333333</v>
      </c>
    </row>
    <row r="13" spans="2:7">
      <c r="B13">
        <v>62781823</v>
      </c>
      <c r="C13">
        <v>9</v>
      </c>
      <c r="D13" s="1">
        <v>68855</v>
      </c>
      <c r="E13" s="1">
        <v>101000</v>
      </c>
      <c r="F13" s="9">
        <f t="shared" si="0"/>
        <v>2020</v>
      </c>
      <c r="G13" s="8">
        <f t="shared" si="1"/>
        <v>7757.916666666667</v>
      </c>
    </row>
    <row r="14" spans="2:7">
      <c r="B14">
        <v>58291548</v>
      </c>
      <c r="C14">
        <v>10</v>
      </c>
      <c r="D14" s="1">
        <v>47316</v>
      </c>
      <c r="E14" s="1">
        <v>175000</v>
      </c>
      <c r="F14" s="9">
        <f t="shared" si="0"/>
        <v>3500</v>
      </c>
      <c r="G14" s="8">
        <f t="shared" si="1"/>
        <v>7443</v>
      </c>
    </row>
    <row r="15" spans="2:7">
      <c r="B15">
        <v>82583037</v>
      </c>
      <c r="C15">
        <v>18</v>
      </c>
      <c r="D15" s="1">
        <v>92320</v>
      </c>
      <c r="E15" s="1">
        <v>500000</v>
      </c>
      <c r="F15" s="9">
        <f t="shared" si="0"/>
        <v>20000</v>
      </c>
      <c r="G15" s="8">
        <f t="shared" si="1"/>
        <v>27693.333333333332</v>
      </c>
    </row>
    <row r="16" spans="2:7">
      <c r="B16">
        <v>45159477</v>
      </c>
      <c r="C16">
        <v>20</v>
      </c>
      <c r="D16" s="1">
        <v>85325</v>
      </c>
      <c r="E16" s="1">
        <v>750000</v>
      </c>
      <c r="F16" s="9">
        <f t="shared" si="0"/>
        <v>30000</v>
      </c>
      <c r="G16" s="8">
        <f t="shared" si="1"/>
        <v>37110.416666666664</v>
      </c>
    </row>
    <row r="18" spans="2:7" ht="14.45">
      <c r="B18" s="5" t="s">
        <v>15</v>
      </c>
      <c r="C18" s="5"/>
      <c r="E18" s="5" t="s">
        <v>9</v>
      </c>
      <c r="F18" s="5" t="s">
        <v>13</v>
      </c>
      <c r="G18" s="5" t="s">
        <v>14</v>
      </c>
    </row>
    <row r="19" spans="2:7" ht="14.45">
      <c r="B19" t="s">
        <v>16</v>
      </c>
      <c r="C19" s="8">
        <f>MIN(F10:F16)</f>
        <v>500</v>
      </c>
      <c r="E19">
        <v>80676307</v>
      </c>
      <c r="F19" s="10" cm="1">
        <f t="array" ref="F19:G19">_xlfn.XLOOKUP(E19,B10:B16,F10:G16)</f>
        <v>500</v>
      </c>
      <c r="G19" s="10">
        <v>6218.416666666667</v>
      </c>
    </row>
    <row r="20" spans="2:7" ht="14.45">
      <c r="B20" t="s">
        <v>17</v>
      </c>
      <c r="C20" s="8">
        <f>AVERAGE(F10:F16)</f>
        <v>8328.5714285714294</v>
      </c>
    </row>
    <row r="21" spans="2:7" ht="14.45">
      <c r="B21" t="s">
        <v>18</v>
      </c>
      <c r="C21" s="8">
        <f>MAX(F10:F16)</f>
        <v>30000</v>
      </c>
    </row>
  </sheetData>
  <dataValidations count="1">
    <dataValidation type="list" allowBlank="1" showInputMessage="1" showErrorMessage="1" sqref="E19" xr:uid="{D003375F-A247-45D2-A791-DC4396AA88C7}">
      <formula1>$B$10:$B$16</formula1>
    </dataValidation>
  </dataValidations>
  <pageMargins left="0.7" right="0.7" top="0.75" bottom="0.75" header="0.3" footer="0.3"/>
  <pageSetup orientation="portrait" horizontalDpi="4294967293" verticalDpi="0"/>
  <headerFooter>
    <oddFooter>&amp;LExploring Series&amp;C&amp;A&amp;R&amp;F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1"/>
  <sheetViews>
    <sheetView tabSelected="1" topLeftCell="A2" workbookViewId="0">
      <selection activeCell="G10" sqref="G10:G16"/>
    </sheetView>
  </sheetViews>
  <sheetFormatPr defaultRowHeight="14.45"/>
  <cols>
    <col min="1" max="1" width="4.5703125" customWidth="1"/>
    <col min="2" max="2" width="21.42578125" bestFit="1" customWidth="1"/>
    <col min="3" max="3" width="17.5703125" customWidth="1"/>
    <col min="4" max="5" width="21.5703125" customWidth="1"/>
    <col min="6" max="6" width="36.5703125" bestFit="1" customWidth="1"/>
    <col min="7" max="7" width="21" customWidth="1"/>
  </cols>
  <sheetData>
    <row r="1" spans="2:7" ht="33.6">
      <c r="C1" s="4" t="s">
        <v>0</v>
      </c>
      <c r="E1" s="4"/>
      <c r="F1" s="4"/>
      <c r="G1" s="4"/>
    </row>
    <row r="3" spans="2:7">
      <c r="B3" s="7" t="s">
        <v>1</v>
      </c>
      <c r="C3" s="6"/>
      <c r="E3" s="6"/>
      <c r="F3" s="7" t="s">
        <v>2</v>
      </c>
      <c r="G3" s="6"/>
    </row>
    <row r="4" spans="2:7">
      <c r="B4" t="s">
        <v>3</v>
      </c>
      <c r="C4" s="3"/>
      <c r="E4" t="s">
        <v>4</v>
      </c>
      <c r="F4" t="s">
        <v>5</v>
      </c>
      <c r="G4" t="s">
        <v>6</v>
      </c>
    </row>
    <row r="5" spans="2:7">
      <c r="B5" t="s">
        <v>7</v>
      </c>
      <c r="E5" s="1">
        <v>25000</v>
      </c>
      <c r="F5" s="2">
        <v>0.01</v>
      </c>
      <c r="G5" s="2">
        <v>0.02</v>
      </c>
    </row>
    <row r="6" spans="2:7">
      <c r="B6" t="s">
        <v>8</v>
      </c>
      <c r="C6">
        <v>3</v>
      </c>
      <c r="E6" s="1">
        <v>250000</v>
      </c>
      <c r="F6" s="2">
        <v>0.02</v>
      </c>
      <c r="G6" s="2">
        <v>0.04</v>
      </c>
    </row>
    <row r="7" spans="2:7">
      <c r="E7" s="1">
        <v>1000000</v>
      </c>
      <c r="F7" s="2">
        <v>0.04</v>
      </c>
      <c r="G7" s="2">
        <v>0.06</v>
      </c>
    </row>
    <row r="8" spans="2:7" ht="12" customHeight="1"/>
    <row r="9" spans="2:7" ht="22.5" customHeight="1"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</row>
    <row r="10" spans="2:7" ht="15">
      <c r="B10">
        <v>80676307</v>
      </c>
      <c r="C10">
        <v>1</v>
      </c>
      <c r="D10" s="1">
        <v>68621</v>
      </c>
      <c r="E10" s="1">
        <v>50000</v>
      </c>
      <c r="F10" s="9"/>
      <c r="G10" s="8"/>
    </row>
    <row r="11" spans="2:7" ht="15">
      <c r="B11">
        <v>76847158</v>
      </c>
      <c r="C11">
        <v>2</v>
      </c>
      <c r="D11" s="1">
        <v>65411</v>
      </c>
      <c r="E11" s="1">
        <v>60000</v>
      </c>
      <c r="F11" s="9"/>
      <c r="G11" s="8"/>
    </row>
    <row r="12" spans="2:7" ht="15">
      <c r="B12">
        <v>28248332</v>
      </c>
      <c r="C12">
        <v>9</v>
      </c>
      <c r="D12" s="1">
        <v>68308</v>
      </c>
      <c r="E12" s="1">
        <v>84000</v>
      </c>
      <c r="F12" s="9"/>
      <c r="G12" s="8"/>
    </row>
    <row r="13" spans="2:7" ht="15">
      <c r="B13">
        <v>62781823</v>
      </c>
      <c r="C13">
        <v>9</v>
      </c>
      <c r="D13" s="1">
        <v>68855</v>
      </c>
      <c r="E13" s="1">
        <v>101000</v>
      </c>
      <c r="F13" s="9"/>
      <c r="G13" s="8"/>
    </row>
    <row r="14" spans="2:7" ht="15">
      <c r="B14">
        <v>58291548</v>
      </c>
      <c r="C14">
        <v>10</v>
      </c>
      <c r="D14" s="1">
        <v>47316</v>
      </c>
      <c r="E14" s="1">
        <v>175000</v>
      </c>
      <c r="F14" s="9"/>
      <c r="G14" s="8"/>
    </row>
    <row r="15" spans="2:7" ht="15">
      <c r="B15">
        <v>82583037</v>
      </c>
      <c r="C15">
        <v>18</v>
      </c>
      <c r="D15" s="1">
        <v>92320</v>
      </c>
      <c r="E15" s="1">
        <v>500000</v>
      </c>
      <c r="F15" s="9"/>
      <c r="G15" s="8"/>
    </row>
    <row r="16" spans="2:7" ht="15">
      <c r="B16">
        <v>45159477</v>
      </c>
      <c r="C16">
        <v>20</v>
      </c>
      <c r="D16" s="1">
        <v>85325</v>
      </c>
      <c r="E16" s="1">
        <v>750000</v>
      </c>
      <c r="F16" s="9"/>
      <c r="G16" s="8"/>
    </row>
    <row r="17" spans="2:7" ht="15">
      <c r="F17" s="9"/>
    </row>
    <row r="18" spans="2:7">
      <c r="B18" s="5" t="s">
        <v>15</v>
      </c>
      <c r="C18" s="5"/>
      <c r="E18" s="5" t="s">
        <v>9</v>
      </c>
      <c r="F18" s="5" t="s">
        <v>13</v>
      </c>
      <c r="G18" s="5" t="s">
        <v>14</v>
      </c>
    </row>
    <row r="19" spans="2:7">
      <c r="B19" t="s">
        <v>16</v>
      </c>
      <c r="C19" s="8"/>
      <c r="E19">
        <v>80676307</v>
      </c>
      <c r="F19" s="10"/>
      <c r="G19" s="10"/>
    </row>
    <row r="20" spans="2:7">
      <c r="B20" t="s">
        <v>17</v>
      </c>
      <c r="C20" s="8"/>
    </row>
    <row r="21" spans="2:7">
      <c r="B21" t="s">
        <v>18</v>
      </c>
      <c r="C21" s="8"/>
    </row>
  </sheetData>
  <sortState xmlns:xlrd2="http://schemas.microsoft.com/office/spreadsheetml/2017/richdata2" ref="B10:G16">
    <sortCondition ref="C10"/>
  </sortState>
  <dataValidations count="1">
    <dataValidation type="list" allowBlank="1" showInputMessage="1" showErrorMessage="1" sqref="E19" xr:uid="{00000000-0002-0000-0000-000000000000}">
      <formula1>$B$10:$B$16</formula1>
    </dataValidation>
  </dataValidations>
  <pageMargins left="0.7" right="0.7" top="0.75" bottom="0.75" header="0.3" footer="0.3"/>
  <pageSetup orientation="portrait" horizontalDpi="4294967293" verticalDpi="0" r:id="rId1"/>
  <headerFooter>
    <oddFooter>&amp;LExploring Series&amp;C&amp;A&amp;R&amp;F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/>
  <cp:revision/>
  <dcterms:created xsi:type="dcterms:W3CDTF">2018-03-15T13:44:50Z</dcterms:created>
  <dcterms:modified xsi:type="dcterms:W3CDTF">2026-02-20T19:36:06Z</dcterms:modified>
  <cp:category/>
  <cp:contentStatus/>
</cp:coreProperties>
</file>