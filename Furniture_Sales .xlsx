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BEBC8C2-130D-483E-AE53-5A9CD910D6A2}" xr6:coauthVersionLast="47" xr6:coauthVersionMax="47" xr10:uidLastSave="{00000000-0000-0000-0000-000000000000}"/>
  <bookViews>
    <workbookView xWindow="0" yWindow="0" windowWidth="19200" windowHeight="8300" xr2:uid="{00000000-000D-0000-FFFF-FFFF00000000}"/>
  </bookViews>
  <sheets>
    <sheet name="Sales" sheetId="1" r:id="rId1"/>
    <sheet name="Functions and Formula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F19" i="3"/>
  <c r="G19" i="3" s="1"/>
  <c r="I19" i="3" s="1"/>
  <c r="D19" i="3"/>
  <c r="F18" i="3"/>
  <c r="G18" i="3" s="1"/>
  <c r="I18" i="3" s="1"/>
  <c r="D18" i="3"/>
  <c r="F17" i="3"/>
  <c r="G17" i="3" s="1"/>
  <c r="I17" i="3" s="1"/>
  <c r="D17" i="3"/>
  <c r="F16" i="3"/>
  <c r="G16" i="3" s="1"/>
  <c r="I16" i="3" s="1"/>
  <c r="D16" i="3"/>
  <c r="F15" i="3"/>
  <c r="G15" i="3" s="1"/>
  <c r="I15" i="3" s="1"/>
  <c r="D15" i="3"/>
  <c r="F14" i="3"/>
  <c r="G14" i="3" s="1"/>
  <c r="I14" i="3" s="1"/>
  <c r="D14" i="3"/>
  <c r="F13" i="3"/>
  <c r="G13" i="3" s="1"/>
  <c r="I13" i="3" s="1"/>
  <c r="D13" i="3"/>
  <c r="F12" i="3"/>
  <c r="G12" i="3" s="1"/>
  <c r="I12" i="3" s="1"/>
  <c r="D12" i="3"/>
  <c r="F11" i="3"/>
  <c r="G11" i="3" s="1"/>
  <c r="I11" i="3" s="1"/>
  <c r="D11" i="3"/>
  <c r="C6" i="3"/>
  <c r="D6" i="3" s="1"/>
  <c r="E6" i="3" s="1"/>
  <c r="F6" i="3" s="1"/>
  <c r="G6" i="3" s="1"/>
  <c r="H6" i="3" s="1"/>
  <c r="I6" i="3" s="1"/>
  <c r="C3" i="3"/>
  <c r="D12" i="1"/>
  <c r="D13" i="1"/>
  <c r="D14" i="1"/>
  <c r="D15" i="1"/>
  <c r="D16" i="1"/>
  <c r="D17" i="1"/>
  <c r="D18" i="1"/>
  <c r="D19" i="1"/>
  <c r="D11" i="1"/>
  <c r="H28" i="3" l="1"/>
  <c r="H27" i="3"/>
  <c r="H26" i="3"/>
  <c r="H25" i="3"/>
  <c r="I20" i="3"/>
</calcChain>
</file>

<file path=xl/sharedStrings.xml><?xml version="1.0" encoding="utf-8"?>
<sst xmlns="http://schemas.openxmlformats.org/spreadsheetml/2006/main" count="113" uniqueCount="39">
  <si>
    <t>Garten Furniture Weekly Sales</t>
  </si>
  <si>
    <t>Date Prepared:</t>
  </si>
  <si>
    <t>Client Name</t>
  </si>
  <si>
    <t>SKU</t>
  </si>
  <si>
    <t>Item Name</t>
  </si>
  <si>
    <t>Delivery</t>
  </si>
  <si>
    <t>Price</t>
  </si>
  <si>
    <t>Total Due</t>
  </si>
  <si>
    <t>Years</t>
  </si>
  <si>
    <t>Monthly Payment</t>
  </si>
  <si>
    <t>Inputs</t>
  </si>
  <si>
    <t>McGowan</t>
  </si>
  <si>
    <t>Yes</t>
  </si>
  <si>
    <t>Delivery Fee</t>
  </si>
  <si>
    <t>Grossman</t>
  </si>
  <si>
    <t>Interest Rate</t>
  </si>
  <si>
    <t>Chamberlain</t>
  </si>
  <si>
    <t>No</t>
  </si>
  <si>
    <t>Months Per Year</t>
  </si>
  <si>
    <t>Vong</t>
  </si>
  <si>
    <t>Williams</t>
  </si>
  <si>
    <t>Hicks</t>
  </si>
  <si>
    <t>Singh</t>
  </si>
  <si>
    <t>Zach</t>
  </si>
  <si>
    <t>Li</t>
  </si>
  <si>
    <t>Totals</t>
  </si>
  <si>
    <t>Description</t>
  </si>
  <si>
    <t>Statistics</t>
  </si>
  <si>
    <t>Leather sectional</t>
  </si>
  <si>
    <t>Number of Orders</t>
  </si>
  <si>
    <t>Entertainment center</t>
  </si>
  <si>
    <t>Lowest Monthly Payment</t>
  </si>
  <si>
    <t>Media cabinet</t>
  </si>
  <si>
    <t>Average Monthly Payment</t>
  </si>
  <si>
    <t>Suede recliner</t>
  </si>
  <si>
    <t>Maximum Monthly Payment</t>
  </si>
  <si>
    <t>End table set</t>
  </si>
  <si>
    <t>Median Monthly Payment</t>
  </si>
  <si>
    <t>Dining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</si>
</sst>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s&quot;#,##0.00;[Red]\-&quot;Rs&quot;#,##0.00"/>
    <numFmt numFmtId="165" formatCode="_(&quot;$&quot;* #,##0_);_(&quot;$&quot;* \(#,##0\);_(&quot;$&quot;* &quot;-&quot;??_);_(@_)"/>
    <numFmt numFmtId="166" formatCode="&quot;$&quot;#,##0.00"/>
    <numFmt numFmtId="167" formatCode="[$-F800]dddd\,\ mmmm\ dd\,\ yyyy"/>
    <numFmt numFmtId="168" formatCode="&quot;Rs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2" borderId="0" applyNumberFormat="0" applyBorder="0" applyAlignment="0" applyProtection="0"/>
    <xf numFmtId="0" fontId="6" fillId="3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3" applyNumberFormat="0" applyFont="0" applyAlignment="0" applyProtection="0"/>
    <xf numFmtId="0" fontId="6" fillId="3" borderId="2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6" fillId="3" borderId="2" applyNumberFormat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6" fillId="3" borderId="4" xfId="3" applyFont="1" applyFill="1" applyBorder="1" applyAlignment="1">
      <alignment horizontal="center" vertical="center" wrapText="1"/>
    </xf>
    <xf numFmtId="0" fontId="4" fillId="0" borderId="4" xfId="1" applyFont="1" applyFill="1" applyBorder="1"/>
    <xf numFmtId="165" fontId="0" fillId="0" borderId="4" xfId="1" applyNumberFormat="1" applyFont="1" applyFill="1" applyBorder="1"/>
    <xf numFmtId="0" fontId="0" fillId="0" borderId="4" xfId="3" applyFont="1" applyBorder="1" applyAlignment="1">
      <alignment horizontal="center"/>
    </xf>
    <xf numFmtId="0" fontId="5" fillId="0" borderId="4" xfId="3" applyFont="1" applyBorder="1" applyAlignment="1">
      <alignment horizontal="left" indent="2"/>
    </xf>
    <xf numFmtId="0" fontId="2" fillId="0" borderId="4" xfId="3" applyFont="1" applyBorder="1" applyAlignment="1">
      <alignment vertical="center" wrapText="1"/>
    </xf>
    <xf numFmtId="166" fontId="0" fillId="0" borderId="4" xfId="5" applyNumberFormat="1" applyFont="1" applyBorder="1"/>
    <xf numFmtId="0" fontId="0" fillId="0" borderId="4" xfId="6" applyFont="1" applyBorder="1"/>
    <xf numFmtId="0" fontId="4" fillId="0" borderId="4" xfId="7" applyFont="1" applyFill="1" applyBorder="1"/>
    <xf numFmtId="0" fontId="2" fillId="0" borderId="4" xfId="9" applyFont="1" applyFill="1" applyBorder="1" applyAlignment="1">
      <alignment horizontal="center" vertical="center" wrapText="1"/>
    </xf>
    <xf numFmtId="0" fontId="6" fillId="3" borderId="4" xfId="10" applyNumberFormat="1" applyFont="1" applyFill="1" applyBorder="1" applyAlignment="1">
      <alignment vertical="center" wrapText="1"/>
    </xf>
    <xf numFmtId="166" fontId="0" fillId="0" borderId="4" xfId="11" applyNumberFormat="1" applyFont="1" applyBorder="1"/>
    <xf numFmtId="10" fontId="0" fillId="0" borderId="4" xfId="12" applyNumberFormat="1" applyFont="1" applyBorder="1"/>
    <xf numFmtId="14" fontId="4" fillId="0" borderId="0" xfId="14" applyNumberFormat="1" applyFont="1"/>
    <xf numFmtId="0" fontId="4" fillId="0" borderId="5" xfId="15" applyFont="1" applyBorder="1"/>
    <xf numFmtId="166" fontId="0" fillId="0" borderId="5" xfId="16" applyNumberFormat="1" applyFont="1" applyFill="1" applyBorder="1"/>
    <xf numFmtId="0" fontId="6" fillId="3" borderId="7" xfId="17" applyFont="1" applyFill="1" applyBorder="1" applyAlignment="1">
      <alignment horizontal="center" vertical="center" wrapText="1"/>
    </xf>
    <xf numFmtId="0" fontId="6" fillId="3" borderId="6" xfId="18" applyFont="1" applyFill="1" applyBorder="1" applyAlignment="1">
      <alignment horizontal="right" vertical="center" wrapText="1"/>
    </xf>
    <xf numFmtId="0" fontId="3" fillId="0" borderId="0" xfId="21" applyFont="1" applyFill="1" applyBorder="1" applyAlignment="1"/>
    <xf numFmtId="14" fontId="0" fillId="0" borderId="0" xfId="22" applyNumberFormat="1" applyFont="1"/>
    <xf numFmtId="0" fontId="0" fillId="0" borderId="0" xfId="23" applyNumberFormat="1" applyFont="1" applyBorder="1"/>
    <xf numFmtId="14" fontId="4" fillId="0" borderId="4" xfId="24" applyNumberFormat="1" applyFont="1" applyBorder="1"/>
    <xf numFmtId="14" fontId="0" fillId="0" borderId="4" xfId="25" applyNumberFormat="1" applyFont="1" applyBorder="1"/>
    <xf numFmtId="0" fontId="0" fillId="0" borderId="4" xfId="26" applyFont="1" applyBorder="1"/>
    <xf numFmtId="0" fontId="2" fillId="4" borderId="4" xfId="27" applyNumberFormat="1" applyFont="1" applyFill="1" applyBorder="1" applyAlignment="1">
      <alignment horizontal="center" vertical="center" wrapText="1"/>
    </xf>
    <xf numFmtId="167" fontId="7" fillId="3" borderId="1" xfId="13" applyNumberFormat="1" applyFont="1" applyFill="1" applyBorder="1"/>
    <xf numFmtId="168" fontId="0" fillId="0" borderId="4" xfId="2" applyNumberFormat="1" applyFont="1" applyFill="1" applyBorder="1"/>
    <xf numFmtId="168" fontId="0" fillId="0" borderId="4" xfId="8" applyNumberFormat="1" applyFont="1" applyFill="1" applyBorder="1"/>
    <xf numFmtId="168" fontId="0" fillId="0" borderId="4" xfId="6" applyNumberFormat="1" applyFont="1" applyBorder="1"/>
    <xf numFmtId="168" fontId="4" fillId="0" borderId="4" xfId="7" applyNumberFormat="1" applyFont="1" applyFill="1" applyBorder="1"/>
    <xf numFmtId="164" fontId="0" fillId="0" borderId="4" xfId="8" applyNumberFormat="1" applyFont="1" applyFill="1" applyBorder="1"/>
    <xf numFmtId="164" fontId="0" fillId="0" borderId="4" xfId="26" applyNumberFormat="1" applyFont="1" applyBorder="1"/>
    <xf numFmtId="168" fontId="0" fillId="0" borderId="4" xfId="19" applyNumberFormat="1" applyFont="1" applyBorder="1"/>
    <xf numFmtId="49" fontId="0" fillId="0" borderId="4" xfId="26" applyNumberFormat="1" applyFont="1" applyBorder="1"/>
    <xf numFmtId="167" fontId="0" fillId="0" borderId="0" xfId="22" applyNumberFormat="1" applyFont="1"/>
  </cellXfs>
  <cellStyles count="28">
    <cellStyle name="20% - Accent6" xfId="1" builtinId="50"/>
    <cellStyle name="5RKmJZbYoSTvo9Ia2AL3uMu/PwwCHJsZtqncPfoPrkI/vDs02ifZP4PSNo8nclYvUYq2UHHua759TIJtV7xVKOMT+1+E1zvw-~vE0yd7fEQm8RJagHGbatQw==" xfId="14" xr:uid="{00000000-0005-0000-0000-000001000000}"/>
    <cellStyle name="6axXwcRZaEQJCZxV+WRcwri00hO2CV4PubuMjfUHS3mYgn+DALw4rllb+lVqzTBEr218qT8M0XV+ZU9EpPuY8B5ds1FzSHT6-~ITsBxVMlFoBPQ0He9GLlQQ==" xfId="6" xr:uid="{00000000-0005-0000-0000-000002000000}"/>
    <cellStyle name="8g0nglD25NN2GQusUC9P60zQhZqhw5/kQ0kAk9KOiy86t0zlPUtuIGe7CkJBZVtdD/s5IBrpa6Ou2rIOFeF+WqUML7kqbjcR-~vBelxLiTbZVNLpVhTQLX5Q==" xfId="19" xr:uid="{00000000-0005-0000-0000-000003000000}"/>
    <cellStyle name="B2yuQZuBV0PD0JiT+nJ5XmXtgJz95mI7/a35dOMHZM9XCqAB9TaGF0u8IYCmyC00ebs6AswTK+O3GIX3cJmCgBe1cFBlnT9+-~GtlZTa/IJC72fmakXD3bKw==" xfId="17" xr:uid="{00000000-0005-0000-0000-000004000000}"/>
    <cellStyle name="bmwikenTEnp2+H6d4FrMJnFg3MKaXHp5KaVYH7ZcEaV9vaYcvg8cpF73V1B5GhTd1exKH3ojV00G+d4GkGfBqGG0eVUO5NO8-~yV1DhtDIecWoKXGq/MHY/Q==" xfId="15" xr:uid="{00000000-0005-0000-0000-000005000000}"/>
    <cellStyle name="bR/Jftr6ozdPuXMBMbry/+1s64wSl6NA1A0SvQKBrw8BXNvBUzdyHI2GQGVtVzEN+YlgciMaanNNf2Ah7igoACmeM26Z84xH-~Y+cYbU68ZhF73/uvGKgrkw==" xfId="26" xr:uid="{00000000-0005-0000-0000-000006000000}"/>
    <cellStyle name="CLClroivL4U/xoCWOLkgZ7771YdU/GRnQOtcr4vDrsm+W8gTTVSKoD94uhZw1csg+8PvUKr38POuPVQ1C1/3OS5qVWjK5BZF-~1vC8CpbdmiMvy7HutDIQXw==" xfId="5" xr:uid="{00000000-0005-0000-0000-000007000000}"/>
    <cellStyle name="Custom Style 1" xfId="3" xr:uid="{00000000-0005-0000-0000-000008000000}"/>
    <cellStyle name="DmN0BEQ2C5VIo6pbZed/KnP3hJXDfHMiuHahZAy5UAqd4CkTYXkLzsyGmzPLd4pY23Vgj3KPwiEkPJtI4eFr0quckTAhfA79-~znAU3W4t8F90USGQL/Bjag==" xfId="11" xr:uid="{00000000-0005-0000-0000-000009000000}"/>
    <cellStyle name="GHH6wVg/f8By2HX8nM2zQrG3ofjbW/EDRG5BcQlDhEc7faxc9hFAQ1ZsWl82DyCCPpxa/H+Bc+XTMDMA3m64LMGtE9WOxauc-~DwEFdwhytqtJsOCLmqsx+g==" xfId="8" xr:uid="{00000000-0005-0000-0000-00000A000000}"/>
    <cellStyle name="HN58W94+aOt+lu9pQ2qTZdZQ6I1j+jyfptEAxh9n/oV8gtjH6KEpUBWhcmnpjJbJJBcpLnIOsI9y+bFup3+g621HjeUbKkmN-~ATt1vqZSAC2vluQnKNX3Xw==" xfId="20" xr:uid="{00000000-0005-0000-0000-00000B000000}"/>
    <cellStyle name="hRtjtd0ZfY0iHTe11Z1403+N7xTQ7oRJhJsuS+nEC5aXzWpL0GBWX2oBPYl8411Si3GFaJk7wuXjqSaUefSuwJIhFto2wBeU-~PQZTWuMX2DWSqQ0cIi0Kzw==" xfId="12" xr:uid="{00000000-0005-0000-0000-00000C000000}"/>
    <cellStyle name="jSJqaZGnW1h+1AalJS7efsCiUitAbdaN1RM8BrWejwrrTYmGLzxEDDxTWh+95p83PWGLudAFKSXWxSOMUaRNYErQW4pB0uLh-~znDZwrMeUSLtHMyDs50PZg==" xfId="21" xr:uid="{00000000-0005-0000-0000-00000D000000}"/>
    <cellStyle name="kRT7MrXyC1Udsd9rxvZlVLANB4d2NAoSL41fxBvty2w+YnAAFbbNOoKTufDAPfWLq8TOGAYHMan5FmVBXnWu5717MNOTM5R/-~Ugh0PLbhz2bI2W8/AWx6Xg==" xfId="16" xr:uid="{00000000-0005-0000-0000-00000E000000}"/>
    <cellStyle name="lEXjOM9qPjGdbCzqpkq2ee8KvB+vgyVHiq9gjN6OhgME8UNt0Cjg3GXmJMwbAYZ5QrwTlQRPknUeKt6vfvs0lAHve8FlGcCv-~4SeGVQh+iubUWH4NhtpVHw==" xfId="18" xr:uid="{00000000-0005-0000-0000-00000F000000}"/>
    <cellStyle name="N3htFzSC5LzLktfrFsxu3+k84v3ff2JnRSOs4jH809xi64MuwAhnoEGw80SbQdehnCq4uUmXZkphZuK6EL8tKL50fqTQIMag-~tyuKqWfUL3gjB5ZSqA6+SA==" xfId="27" xr:uid="{00000000-0005-0000-0000-000010000000}"/>
    <cellStyle name="niDLp9sFY61PN2GUfFSbWo6ySQvbBikBN4oN5z1xRhkJwcFYKpDi6iRJuDKkpakZ5LXJQ8N2yty1piQa7CkwHyxHbfW3BSpy-~3kPU0vBmiQzNRw9H7/gS3Q==" xfId="24" xr:uid="{00000000-0005-0000-0000-000011000000}"/>
    <cellStyle name="Normal" xfId="0" builtinId="0"/>
    <cellStyle name="Output" xfId="2" builtinId="21"/>
    <cellStyle name="rOcf2Du4y7/ZtQYnHmiAr2pIs4TC1ZsTNFGCDaiwUh7JkWo7+6LJ8Nx5BHM9bAsMLLHKjbTyQXvDMxR+oJCkq2QQyJHSOHV6-~/LQ2ufan0zvj1I/suw5U4Q==" xfId="7" xr:uid="{00000000-0005-0000-0000-000014000000}"/>
    <cellStyle name="TTnN3BziWd+oLfWBGnKa38Y3zRDIWa7u09NpVgOPem7wuiZWmkNRGSS65/Up8XjNaN346WFQvZD+JbNvgZMqrqIWl2av1ZEg-~LUyyHVljMnLTFsE8nXdntQ==" xfId="25" xr:uid="{00000000-0005-0000-0000-000015000000}"/>
    <cellStyle name="UM0UuDzWqVnm7SCrI6bvOqXsl0dHklCO7PYTgR6ut+e55CVcLOax8aV5ocRvaxWGFSDENUVk6OCGSUBPUQuVp3zKQN/rzQ89-~fT8ultOFhl0QtGLKBBVViw==" xfId="10" xr:uid="{00000000-0005-0000-0000-000016000000}"/>
    <cellStyle name="Wpjh75JjDg5I303VhLu113NbysJEukTWppQj4DomsKzDOj+5ltT5RGvrDubhEMOCznz+kp0bn7ChgRrP4LX2zXY4K+9G3iqj-~9uZd5M3S9tE3S1R/j4CbmA==" xfId="4" xr:uid="{00000000-0005-0000-0000-000017000000}"/>
    <cellStyle name="XXUvI+a0NQL//9N02dElVQFbzeXGbAacDuCG+oCI+suiSdV4zbq0EBihjMQskstWBddT7R5FQ+JT8Cn1hdjJ81xmDQ7fma6T-~MfeHfpyyZhXN3Byohqpv3Q==" xfId="9" xr:uid="{00000000-0005-0000-0000-000018000000}"/>
    <cellStyle name="Y3yU/HCk3uOrvd+T4RynY1XRCEg3P7ZPyZJPYPs4y4daHdd1hDPvWBi+yQGOI6gb2mpxhdyYuz/JHdpkbz+j/tBD/bOzX6wU-~WuoARzLc+xL+AF9iJLKiIg==" xfId="22" xr:uid="{00000000-0005-0000-0000-000019000000}"/>
    <cellStyle name="YR61wVQgI3Pwf6RPXUe/a0J1HRBr7tkIW8H0WBVbaw8W36gBh49aLyZL2fC05u85zKKOqKw0rAuivn3jjVbttfJqnae/s9B6-~eZ29qBsRDkfnyxZpLhU6AQ==" xfId="13" xr:uid="{00000000-0005-0000-0000-00001A000000}"/>
    <cellStyle name="zmUNmcVauURl6wPBdbGsdxQu0ftzTwEImgsrm8I2ZHFmLQYajywpkvMteywPEj2htP7X5ug2ToZIAz/w3BSpY5ByJfbccls8-~0CupQALL/5ECDvur4zu5qQ==" xfId="23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4"/>
  <sheetViews>
    <sheetView showGridLines="0" workbookViewId="0">
      <selection activeCell="C3" sqref="C3"/>
    </sheetView>
  </sheetViews>
  <sheetFormatPr defaultRowHeight="14.45"/>
  <cols>
    <col min="1" max="1" width="7" customWidth="1"/>
    <col min="2" max="2" width="14.5703125" customWidth="1"/>
    <col min="3" max="3" width="22.42578125" customWidth="1"/>
    <col min="4" max="4" width="21.85546875" bestFit="1" customWidth="1"/>
    <col min="5" max="5" width="8.85546875" customWidth="1"/>
    <col min="6" max="6" width="11.42578125" customWidth="1"/>
    <col min="7" max="7" width="26.5703125" bestFit="1" customWidth="1"/>
    <col min="8" max="8" width="9.85546875" customWidth="1"/>
    <col min="9" max="9" width="16.42578125" bestFit="1" customWidth="1"/>
    <col min="10" max="10" width="8.85546875" customWidth="1"/>
    <col min="11" max="11" width="15.140625" bestFit="1" customWidth="1"/>
    <col min="14" max="14" width="11.85546875" bestFit="1" customWidth="1"/>
  </cols>
  <sheetData>
    <row r="2" spans="2:12" ht="27.6">
      <c r="B2" s="19"/>
      <c r="C2" s="19"/>
      <c r="D2" s="19" t="s">
        <v>0</v>
      </c>
      <c r="E2" s="19"/>
      <c r="G2" s="19"/>
      <c r="H2" s="19"/>
      <c r="I2" s="19"/>
    </row>
    <row r="3" spans="2:12">
      <c r="B3" s="22" t="s">
        <v>1</v>
      </c>
      <c r="C3" s="26"/>
      <c r="D3" s="21"/>
      <c r="E3" s="21"/>
      <c r="F3" s="21"/>
      <c r="G3" s="21"/>
      <c r="H3" s="21"/>
      <c r="I3" s="21"/>
    </row>
    <row r="4" spans="2:12">
      <c r="B4" s="14"/>
      <c r="C4" s="35"/>
      <c r="D4" s="21"/>
      <c r="E4" s="21"/>
      <c r="F4" s="21"/>
      <c r="G4" s="21"/>
      <c r="H4" s="21"/>
      <c r="I4" s="21"/>
    </row>
    <row r="5" spans="2:12"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</row>
    <row r="6" spans="2:12" ht="15">
      <c r="B6" s="34"/>
      <c r="C6" s="2"/>
      <c r="D6" s="2"/>
      <c r="E6" s="2"/>
      <c r="F6" s="2"/>
      <c r="G6" s="2"/>
      <c r="H6" s="2"/>
      <c r="I6" s="2"/>
    </row>
    <row r="7" spans="2:12">
      <c r="B7" s="22"/>
      <c r="C7" s="23"/>
      <c r="D7" s="24"/>
      <c r="E7" s="24"/>
      <c r="F7" s="24"/>
      <c r="G7" s="24"/>
      <c r="H7" s="24"/>
      <c r="I7" s="24"/>
    </row>
    <row r="8" spans="2:12">
      <c r="B8" s="14"/>
      <c r="C8" s="20"/>
      <c r="D8" s="21"/>
      <c r="E8" s="21"/>
      <c r="F8" s="21"/>
      <c r="G8" s="21"/>
      <c r="H8" s="21"/>
      <c r="I8" s="21"/>
    </row>
    <row r="9" spans="2:12">
      <c r="B9" s="14"/>
      <c r="C9" s="20"/>
      <c r="D9" s="21"/>
      <c r="E9" s="21"/>
      <c r="F9" s="21"/>
      <c r="G9" s="21"/>
      <c r="H9" s="21"/>
      <c r="I9" s="21"/>
    </row>
    <row r="10" spans="2:12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K10" s="18" t="s">
        <v>10</v>
      </c>
      <c r="L10" s="17"/>
    </row>
    <row r="11" spans="2:12">
      <c r="B11" s="34" t="s">
        <v>11</v>
      </c>
      <c r="C11" s="2">
        <v>294211</v>
      </c>
      <c r="D11" s="3" t="str">
        <f>VLOOKUP(C11,$B$24:$D$29,2,FALSE)</f>
        <v>Leather sectional</v>
      </c>
      <c r="E11" s="24" t="s">
        <v>12</v>
      </c>
      <c r="F11" s="27"/>
      <c r="G11" s="28"/>
      <c r="H11" s="4">
        <v>3</v>
      </c>
      <c r="I11" s="31"/>
      <c r="K11" s="15" t="s">
        <v>13</v>
      </c>
      <c r="L11" s="16">
        <v>75</v>
      </c>
    </row>
    <row r="12" spans="2:12">
      <c r="B12" s="34" t="s">
        <v>14</v>
      </c>
      <c r="C12" s="2">
        <v>327064</v>
      </c>
      <c r="D12" s="3" t="str">
        <f t="shared" ref="D12:D19" si="0">VLOOKUP(C12,$B$24:$D$29,2,FALSE)</f>
        <v>Media cabinet</v>
      </c>
      <c r="E12" s="24" t="s">
        <v>12</v>
      </c>
      <c r="F12" s="27"/>
      <c r="G12" s="28"/>
      <c r="H12" s="4">
        <v>5</v>
      </c>
      <c r="I12" s="31"/>
      <c r="K12" s="2" t="s">
        <v>15</v>
      </c>
      <c r="L12" s="13">
        <v>3.2500000000000001E-2</v>
      </c>
    </row>
    <row r="13" spans="2:12">
      <c r="B13" s="34" t="s">
        <v>16</v>
      </c>
      <c r="C13" s="2">
        <v>446741</v>
      </c>
      <c r="D13" s="3" t="str">
        <f t="shared" si="0"/>
        <v>End table set</v>
      </c>
      <c r="E13" s="24" t="s">
        <v>17</v>
      </c>
      <c r="F13" s="27"/>
      <c r="G13" s="28"/>
      <c r="H13" s="4">
        <v>3</v>
      </c>
      <c r="I13" s="31"/>
      <c r="K13" s="2" t="s">
        <v>18</v>
      </c>
      <c r="L13" s="24">
        <v>12</v>
      </c>
    </row>
    <row r="14" spans="2:12">
      <c r="B14" s="34" t="s">
        <v>19</v>
      </c>
      <c r="C14" s="2">
        <v>643081</v>
      </c>
      <c r="D14" s="3" t="str">
        <f t="shared" si="0"/>
        <v>Dining table</v>
      </c>
      <c r="E14" s="24" t="s">
        <v>17</v>
      </c>
      <c r="F14" s="27"/>
      <c r="G14" s="28"/>
      <c r="H14" s="4">
        <v>5</v>
      </c>
      <c r="I14" s="31"/>
    </row>
    <row r="15" spans="2:12">
      <c r="B15" s="34" t="s">
        <v>20</v>
      </c>
      <c r="C15" s="2">
        <v>294211</v>
      </c>
      <c r="D15" s="3" t="str">
        <f t="shared" si="0"/>
        <v>Leather sectional</v>
      </c>
      <c r="E15" s="24" t="s">
        <v>17</v>
      </c>
      <c r="F15" s="27"/>
      <c r="G15" s="28"/>
      <c r="H15" s="4">
        <v>3</v>
      </c>
      <c r="I15" s="31"/>
    </row>
    <row r="16" spans="2:12">
      <c r="B16" s="34" t="s">
        <v>21</v>
      </c>
      <c r="C16" s="2">
        <v>446741</v>
      </c>
      <c r="D16" s="3" t="str">
        <f t="shared" si="0"/>
        <v>End table set</v>
      </c>
      <c r="E16" s="24" t="s">
        <v>17</v>
      </c>
      <c r="F16" s="27"/>
      <c r="G16" s="28"/>
      <c r="H16" s="4">
        <v>3</v>
      </c>
      <c r="I16" s="31"/>
    </row>
    <row r="17" spans="2:9">
      <c r="B17" s="34" t="s">
        <v>22</v>
      </c>
      <c r="C17" s="2">
        <v>306862</v>
      </c>
      <c r="D17" s="3" t="str">
        <f t="shared" si="0"/>
        <v>Entertainment center</v>
      </c>
      <c r="E17" s="24" t="s">
        <v>12</v>
      </c>
      <c r="F17" s="27"/>
      <c r="G17" s="28"/>
      <c r="H17" s="4">
        <v>4</v>
      </c>
      <c r="I17" s="31"/>
    </row>
    <row r="18" spans="2:9">
      <c r="B18" s="34" t="s">
        <v>23</v>
      </c>
      <c r="C18" s="2">
        <v>643081</v>
      </c>
      <c r="D18" s="3" t="str">
        <f t="shared" si="0"/>
        <v>Dining table</v>
      </c>
      <c r="E18" s="24" t="s">
        <v>17</v>
      </c>
      <c r="F18" s="27"/>
      <c r="G18" s="28"/>
      <c r="H18" s="4">
        <v>4</v>
      </c>
      <c r="I18" s="31"/>
    </row>
    <row r="19" spans="2:9">
      <c r="B19" s="34" t="s">
        <v>24</v>
      </c>
      <c r="C19" s="2">
        <v>446741</v>
      </c>
      <c r="D19" s="3" t="str">
        <f t="shared" si="0"/>
        <v>End table set</v>
      </c>
      <c r="E19" s="24" t="s">
        <v>12</v>
      </c>
      <c r="F19" s="27"/>
      <c r="G19" s="28"/>
      <c r="H19" s="4">
        <v>5</v>
      </c>
      <c r="I19" s="31"/>
    </row>
    <row r="20" spans="2:9">
      <c r="B20" s="5" t="s">
        <v>25</v>
      </c>
      <c r="C20" s="24"/>
      <c r="D20" s="24"/>
      <c r="E20" s="24"/>
      <c r="F20" s="24"/>
      <c r="G20" s="24"/>
      <c r="H20" s="24"/>
      <c r="I20" s="31"/>
    </row>
    <row r="21" spans="2:9">
      <c r="B21" s="24"/>
      <c r="C21" s="24"/>
      <c r="D21" s="24"/>
      <c r="E21" s="24"/>
      <c r="F21" s="24"/>
      <c r="G21" s="24"/>
      <c r="H21" s="24"/>
      <c r="I21" s="24"/>
    </row>
    <row r="22" spans="2:9" ht="14.45" customHeight="1">
      <c r="B22" s="6"/>
      <c r="C22" s="10"/>
      <c r="D22" s="6"/>
      <c r="E22" s="24"/>
      <c r="F22" s="24"/>
      <c r="G22" s="24"/>
      <c r="H22" s="24"/>
      <c r="I22" s="24"/>
    </row>
    <row r="23" spans="2:9" ht="14.45" customHeight="1">
      <c r="B23" s="1" t="s">
        <v>3</v>
      </c>
      <c r="C23" s="1" t="s">
        <v>26</v>
      </c>
      <c r="D23" s="1" t="s">
        <v>6</v>
      </c>
      <c r="E23" s="10"/>
      <c r="F23" s="24"/>
      <c r="G23" s="1" t="s">
        <v>27</v>
      </c>
      <c r="H23" s="11"/>
      <c r="I23" s="11"/>
    </row>
    <row r="24" spans="2:9">
      <c r="B24" s="2">
        <v>294211</v>
      </c>
      <c r="C24" s="3" t="s">
        <v>28</v>
      </c>
      <c r="D24" s="12">
        <v>1399</v>
      </c>
      <c r="E24" s="7"/>
      <c r="F24" s="24"/>
      <c r="G24" s="8" t="s">
        <v>29</v>
      </c>
      <c r="H24" s="8"/>
      <c r="I24" s="24"/>
    </row>
    <row r="25" spans="2:9">
      <c r="B25" s="2">
        <v>306862</v>
      </c>
      <c r="C25" s="3" t="s">
        <v>30</v>
      </c>
      <c r="D25" s="12">
        <v>809.99</v>
      </c>
      <c r="E25" s="7"/>
      <c r="F25" s="24"/>
      <c r="G25" s="8" t="s">
        <v>31</v>
      </c>
      <c r="H25" s="29"/>
      <c r="I25" s="24"/>
    </row>
    <row r="26" spans="2:9">
      <c r="B26" s="2">
        <v>327064</v>
      </c>
      <c r="C26" s="3" t="s">
        <v>32</v>
      </c>
      <c r="D26" s="12">
        <v>379.99</v>
      </c>
      <c r="E26" s="7"/>
      <c r="F26" s="24"/>
      <c r="G26" s="8" t="s">
        <v>33</v>
      </c>
      <c r="H26" s="33"/>
      <c r="I26" s="24"/>
    </row>
    <row r="27" spans="2:9">
      <c r="B27" s="2">
        <v>446229</v>
      </c>
      <c r="C27" s="3" t="s">
        <v>34</v>
      </c>
      <c r="D27" s="12">
        <v>1099.99</v>
      </c>
      <c r="E27" s="7"/>
      <c r="F27" s="24"/>
      <c r="G27" s="8" t="s">
        <v>35</v>
      </c>
      <c r="H27" s="29"/>
      <c r="I27" s="24"/>
    </row>
    <row r="28" spans="2:9">
      <c r="B28" s="2">
        <v>446741</v>
      </c>
      <c r="C28" s="3" t="s">
        <v>36</v>
      </c>
      <c r="D28" s="12">
        <v>467.99</v>
      </c>
      <c r="E28" s="7"/>
      <c r="F28" s="24"/>
      <c r="G28" s="9" t="s">
        <v>37</v>
      </c>
      <c r="H28" s="30"/>
      <c r="I28" s="24"/>
    </row>
    <row r="29" spans="2:9">
      <c r="B29" s="2">
        <v>643081</v>
      </c>
      <c r="C29" s="3" t="s">
        <v>38</v>
      </c>
      <c r="D29" s="12">
        <v>599.99</v>
      </c>
      <c r="E29" s="7"/>
      <c r="F29" s="24"/>
      <c r="G29" s="24"/>
      <c r="H29" s="24"/>
      <c r="I29" s="24"/>
    </row>
    <row r="30" spans="2:9">
      <c r="B30" s="2"/>
      <c r="C30" s="24"/>
      <c r="D30" s="24"/>
      <c r="E30" s="24"/>
      <c r="F30" s="24"/>
      <c r="G30" s="24"/>
      <c r="H30" s="24"/>
      <c r="I30" s="24"/>
    </row>
    <row r="31" spans="2:9">
      <c r="D31" s="21"/>
      <c r="E31" s="21"/>
      <c r="F31" s="21"/>
      <c r="G31" s="21"/>
      <c r="H31" s="21"/>
      <c r="I31" s="21"/>
    </row>
    <row r="32" spans="2:9">
      <c r="D32" s="21"/>
      <c r="E32" s="21"/>
      <c r="F32" s="21"/>
      <c r="G32" s="21"/>
      <c r="H32" s="21"/>
      <c r="I32" s="21"/>
    </row>
    <row r="33" spans="4:9">
      <c r="D33" s="21"/>
      <c r="E33" s="21"/>
      <c r="F33" s="21"/>
      <c r="G33" s="21"/>
      <c r="H33" s="21"/>
      <c r="I33" s="21"/>
    </row>
    <row r="34" spans="4:9">
      <c r="D34" s="21"/>
      <c r="E34" s="21"/>
      <c r="F34" s="21"/>
      <c r="G34" s="21"/>
      <c r="H34" s="21"/>
      <c r="I34" s="21"/>
    </row>
  </sheetData>
  <sortState xmlns:xlrd2="http://schemas.microsoft.com/office/spreadsheetml/2017/richdata2" ref="B11:I20">
    <sortCondition ref="C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154B-DCF2-4AFE-8060-D4A0B08BE2D6}">
  <dimension ref="B2:L34"/>
  <sheetViews>
    <sheetView showGridLines="0" workbookViewId="0"/>
  </sheetViews>
  <sheetFormatPr defaultRowHeight="15"/>
  <cols>
    <col min="1" max="1" width="7" customWidth="1"/>
    <col min="2" max="2" width="14.5703125" customWidth="1"/>
    <col min="3" max="3" width="22.42578125" customWidth="1"/>
    <col min="4" max="4" width="21.85546875" bestFit="1" customWidth="1"/>
    <col min="5" max="5" width="8.85546875" customWidth="1"/>
    <col min="6" max="6" width="11.42578125" customWidth="1"/>
    <col min="7" max="7" width="26.5703125" bestFit="1" customWidth="1"/>
    <col min="8" max="8" width="9.85546875" customWidth="1"/>
    <col min="9" max="9" width="16.42578125" bestFit="1" customWidth="1"/>
    <col min="10" max="10" width="8.85546875" customWidth="1"/>
    <col min="11" max="11" width="15.140625" bestFit="1" customWidth="1"/>
    <col min="14" max="14" width="11.85546875" bestFit="1" customWidth="1"/>
  </cols>
  <sheetData>
    <row r="2" spans="2:12" ht="27.6">
      <c r="B2" s="19"/>
      <c r="C2" s="19"/>
      <c r="D2" s="19" t="s">
        <v>0</v>
      </c>
      <c r="E2" s="19"/>
      <c r="G2" s="19"/>
      <c r="H2" s="19"/>
      <c r="I2" s="19"/>
    </row>
    <row r="3" spans="2:12" ht="14.45">
      <c r="B3" s="22" t="s">
        <v>1</v>
      </c>
      <c r="C3" s="26">
        <f ca="1">TODAY()</f>
        <v>46073</v>
      </c>
      <c r="D3" s="21"/>
      <c r="E3" s="21"/>
      <c r="F3" s="21"/>
      <c r="G3" s="21"/>
      <c r="H3" s="21"/>
      <c r="I3" s="21"/>
    </row>
    <row r="4" spans="2:12" ht="14.45">
      <c r="B4" s="14"/>
      <c r="C4" s="35"/>
      <c r="D4" s="21"/>
      <c r="E4" s="21"/>
      <c r="F4" s="21"/>
      <c r="G4" s="21"/>
      <c r="H4" s="21"/>
      <c r="I4" s="21"/>
    </row>
    <row r="5" spans="2:12" ht="14.45"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</row>
    <row r="6" spans="2:12">
      <c r="B6" s="34" t="s">
        <v>11</v>
      </c>
      <c r="C6" s="2">
        <f>_xlfn.XLOOKUP(B6,B11:B19,C11:C19)</f>
        <v>294211</v>
      </c>
      <c r="D6" s="2" t="str">
        <f t="shared" ref="D6:I6" si="0">_xlfn.XLOOKUP(C6,C11:C19,D11:D19)</f>
        <v>Leather sectional</v>
      </c>
      <c r="E6" s="2" t="str">
        <f t="shared" si="0"/>
        <v>Yes</v>
      </c>
      <c r="F6" s="2">
        <f t="shared" si="0"/>
        <v>1399</v>
      </c>
      <c r="G6" s="2">
        <f t="shared" si="0"/>
        <v>1474</v>
      </c>
      <c r="H6" s="2">
        <f t="shared" si="0"/>
        <v>3</v>
      </c>
      <c r="I6" s="2">
        <f t="shared" si="0"/>
        <v>43.02829343512262</v>
      </c>
    </row>
    <row r="7" spans="2:12" ht="14.45">
      <c r="B7" s="22"/>
      <c r="C7" s="23"/>
      <c r="D7" s="24"/>
      <c r="E7" s="24"/>
      <c r="F7" s="24"/>
      <c r="G7" s="24"/>
      <c r="H7" s="24"/>
      <c r="I7" s="24"/>
    </row>
    <row r="8" spans="2:12" ht="14.45">
      <c r="B8" s="14"/>
      <c r="C8" s="20"/>
      <c r="D8" s="21"/>
      <c r="E8" s="21"/>
      <c r="F8" s="21"/>
      <c r="G8" s="21"/>
      <c r="H8" s="21"/>
      <c r="I8" s="21"/>
    </row>
    <row r="9" spans="2:12" ht="14.45">
      <c r="B9" s="14"/>
      <c r="C9" s="20"/>
      <c r="D9" s="21"/>
      <c r="E9" s="21"/>
      <c r="F9" s="21"/>
      <c r="G9" s="21"/>
      <c r="H9" s="21"/>
      <c r="I9" s="21"/>
    </row>
    <row r="10" spans="2:12" ht="14.45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K10" s="18" t="s">
        <v>10</v>
      </c>
      <c r="L10" s="17"/>
    </row>
    <row r="11" spans="2:12" ht="14.45">
      <c r="B11" s="34" t="s">
        <v>11</v>
      </c>
      <c r="C11" s="2">
        <v>294211</v>
      </c>
      <c r="D11" s="3" t="str">
        <f>VLOOKUP(C11,$B$24:$D$29,2,FALSE)</f>
        <v>Leather sectional</v>
      </c>
      <c r="E11" s="24" t="s">
        <v>12</v>
      </c>
      <c r="F11" s="27">
        <f>LOOKUP(C11,$B$24:$D$29)</f>
        <v>1399</v>
      </c>
      <c r="G11" s="28">
        <f>IF(E11="Yes",F11+$L$11,F11)</f>
        <v>1474</v>
      </c>
      <c r="H11" s="4">
        <v>3</v>
      </c>
      <c r="I11" s="31">
        <f>PMT($L$12/12,H11*$L$13,-G11)</f>
        <v>43.02829343512262</v>
      </c>
      <c r="K11" s="15" t="s">
        <v>13</v>
      </c>
      <c r="L11" s="16">
        <v>75</v>
      </c>
    </row>
    <row r="12" spans="2:12" ht="14.45">
      <c r="B12" s="34" t="s">
        <v>14</v>
      </c>
      <c r="C12" s="2">
        <v>327064</v>
      </c>
      <c r="D12" s="3" t="str">
        <f t="shared" ref="D12:D19" si="1">VLOOKUP(C12,$B$24:$D$29,2,FALSE)</f>
        <v>Media cabinet</v>
      </c>
      <c r="E12" s="24" t="s">
        <v>12</v>
      </c>
      <c r="F12" s="27">
        <f t="shared" ref="F12:F19" si="2">LOOKUP(C12,$B$24:$D$29)</f>
        <v>379.99</v>
      </c>
      <c r="G12" s="28">
        <f t="shared" ref="G12:G19" si="3">IF(E12="Yes",F12+$L$11,F12)</f>
        <v>454.99</v>
      </c>
      <c r="H12" s="4">
        <v>5</v>
      </c>
      <c r="I12" s="31">
        <f t="shared" ref="I12:I19" si="4">PMT($L$12/12,H12*$L$13,-G12)</f>
        <v>8.2262202512996065</v>
      </c>
      <c r="K12" s="2" t="s">
        <v>15</v>
      </c>
      <c r="L12" s="13">
        <v>3.2500000000000001E-2</v>
      </c>
    </row>
    <row r="13" spans="2:12" ht="14.45">
      <c r="B13" s="34" t="s">
        <v>16</v>
      </c>
      <c r="C13" s="2">
        <v>446741</v>
      </c>
      <c r="D13" s="3" t="str">
        <f t="shared" si="1"/>
        <v>End table set</v>
      </c>
      <c r="E13" s="24" t="s">
        <v>17</v>
      </c>
      <c r="F13" s="27">
        <f t="shared" si="2"/>
        <v>467.99</v>
      </c>
      <c r="G13" s="28">
        <f t="shared" si="3"/>
        <v>467.99</v>
      </c>
      <c r="H13" s="4">
        <v>3</v>
      </c>
      <c r="I13" s="31">
        <f t="shared" si="4"/>
        <v>13.661337208075329</v>
      </c>
      <c r="K13" s="2" t="s">
        <v>18</v>
      </c>
      <c r="L13" s="24">
        <v>12</v>
      </c>
    </row>
    <row r="14" spans="2:12" ht="14.45">
      <c r="B14" s="34" t="s">
        <v>19</v>
      </c>
      <c r="C14" s="2">
        <v>643081</v>
      </c>
      <c r="D14" s="3" t="str">
        <f t="shared" si="1"/>
        <v>Dining table</v>
      </c>
      <c r="E14" s="24" t="s">
        <v>17</v>
      </c>
      <c r="F14" s="27">
        <f t="shared" si="2"/>
        <v>599.99</v>
      </c>
      <c r="G14" s="28">
        <f t="shared" si="3"/>
        <v>599.99</v>
      </c>
      <c r="H14" s="4">
        <v>5</v>
      </c>
      <c r="I14" s="31">
        <f t="shared" si="4"/>
        <v>10.847820586336514</v>
      </c>
    </row>
    <row r="15" spans="2:12" ht="14.45">
      <c r="B15" s="34" t="s">
        <v>20</v>
      </c>
      <c r="C15" s="2">
        <v>294211</v>
      </c>
      <c r="D15" s="3" t="str">
        <f t="shared" si="1"/>
        <v>Leather sectional</v>
      </c>
      <c r="E15" s="24" t="s">
        <v>17</v>
      </c>
      <c r="F15" s="27">
        <f t="shared" si="2"/>
        <v>1399</v>
      </c>
      <c r="G15" s="28">
        <f t="shared" si="3"/>
        <v>1399</v>
      </c>
      <c r="H15" s="4">
        <v>3</v>
      </c>
      <c r="I15" s="31">
        <f t="shared" si="4"/>
        <v>40.838929793579752</v>
      </c>
    </row>
    <row r="16" spans="2:12" ht="14.45">
      <c r="B16" s="34" t="s">
        <v>21</v>
      </c>
      <c r="C16" s="2">
        <v>446741</v>
      </c>
      <c r="D16" s="3" t="str">
        <f t="shared" si="1"/>
        <v>End table set</v>
      </c>
      <c r="E16" s="24" t="s">
        <v>17</v>
      </c>
      <c r="F16" s="27">
        <f t="shared" si="2"/>
        <v>467.99</v>
      </c>
      <c r="G16" s="28">
        <f t="shared" si="3"/>
        <v>467.99</v>
      </c>
      <c r="H16" s="4">
        <v>3</v>
      </c>
      <c r="I16" s="31">
        <f t="shared" si="4"/>
        <v>13.661337208075329</v>
      </c>
    </row>
    <row r="17" spans="2:9" ht="14.45">
      <c r="B17" s="34" t="s">
        <v>22</v>
      </c>
      <c r="C17" s="2">
        <v>306862</v>
      </c>
      <c r="D17" s="3" t="str">
        <f t="shared" si="1"/>
        <v>Entertainment center</v>
      </c>
      <c r="E17" s="24" t="s">
        <v>12</v>
      </c>
      <c r="F17" s="27">
        <f t="shared" si="2"/>
        <v>809.99</v>
      </c>
      <c r="G17" s="28">
        <f t="shared" si="3"/>
        <v>884.99</v>
      </c>
      <c r="H17" s="4">
        <v>4</v>
      </c>
      <c r="I17" s="31">
        <f t="shared" si="4"/>
        <v>19.68659500865482</v>
      </c>
    </row>
    <row r="18" spans="2:9" ht="14.45">
      <c r="B18" s="34" t="s">
        <v>23</v>
      </c>
      <c r="C18" s="2">
        <v>643081</v>
      </c>
      <c r="D18" s="3" t="str">
        <f t="shared" si="1"/>
        <v>Dining table</v>
      </c>
      <c r="E18" s="24" t="s">
        <v>17</v>
      </c>
      <c r="F18" s="27">
        <f t="shared" si="2"/>
        <v>599.99</v>
      </c>
      <c r="G18" s="28">
        <f t="shared" si="3"/>
        <v>599.99</v>
      </c>
      <c r="H18" s="4">
        <v>4</v>
      </c>
      <c r="I18" s="31">
        <f t="shared" si="4"/>
        <v>13.346772437251049</v>
      </c>
    </row>
    <row r="19" spans="2:9" ht="14.45">
      <c r="B19" s="34" t="s">
        <v>24</v>
      </c>
      <c r="C19" s="2">
        <v>446741</v>
      </c>
      <c r="D19" s="3" t="str">
        <f t="shared" si="1"/>
        <v>End table set</v>
      </c>
      <c r="E19" s="24" t="s">
        <v>12</v>
      </c>
      <c r="F19" s="27">
        <f t="shared" si="2"/>
        <v>467.99</v>
      </c>
      <c r="G19" s="28">
        <f t="shared" si="3"/>
        <v>542.99</v>
      </c>
      <c r="H19" s="4">
        <v>5</v>
      </c>
      <c r="I19" s="31">
        <f t="shared" si="4"/>
        <v>9.8172604546323505</v>
      </c>
    </row>
    <row r="20" spans="2:9" ht="14.45">
      <c r="B20" s="5" t="s">
        <v>25</v>
      </c>
      <c r="C20" s="24"/>
      <c r="D20" s="24"/>
      <c r="E20" s="24"/>
      <c r="F20" s="24"/>
      <c r="G20" s="24"/>
      <c r="H20" s="24"/>
      <c r="I20" s="32">
        <f>SUM(I11:I19)</f>
        <v>173.11456638302738</v>
      </c>
    </row>
    <row r="21" spans="2:9" ht="14.45">
      <c r="B21" s="24"/>
      <c r="C21" s="24"/>
      <c r="D21" s="24"/>
      <c r="E21" s="24"/>
      <c r="F21" s="24"/>
      <c r="G21" s="24"/>
      <c r="H21" s="24"/>
      <c r="I21" s="24"/>
    </row>
    <row r="22" spans="2:9" ht="14.45" customHeight="1">
      <c r="B22" s="6"/>
      <c r="C22" s="10"/>
      <c r="D22" s="6"/>
      <c r="E22" s="24"/>
      <c r="F22" s="24"/>
      <c r="G22" s="24"/>
      <c r="H22" s="24"/>
      <c r="I22" s="24"/>
    </row>
    <row r="23" spans="2:9" ht="14.45" customHeight="1">
      <c r="B23" s="1" t="s">
        <v>3</v>
      </c>
      <c r="C23" s="1" t="s">
        <v>26</v>
      </c>
      <c r="D23" s="1" t="s">
        <v>6</v>
      </c>
      <c r="E23" s="10"/>
      <c r="F23" s="24"/>
      <c r="G23" s="1" t="s">
        <v>27</v>
      </c>
      <c r="H23" s="11"/>
      <c r="I23" s="11"/>
    </row>
    <row r="24" spans="2:9" ht="14.45">
      <c r="B24" s="2">
        <v>294211</v>
      </c>
      <c r="C24" s="3" t="s">
        <v>28</v>
      </c>
      <c r="D24" s="12">
        <v>1399</v>
      </c>
      <c r="E24" s="7"/>
      <c r="F24" s="24"/>
      <c r="G24" s="8" t="s">
        <v>29</v>
      </c>
      <c r="H24" s="8">
        <f>COUNT(C11:C19)</f>
        <v>9</v>
      </c>
      <c r="I24" s="24"/>
    </row>
    <row r="25" spans="2:9" ht="14.45">
      <c r="B25" s="2">
        <v>306862</v>
      </c>
      <c r="C25" s="3" t="s">
        <v>30</v>
      </c>
      <c r="D25" s="12">
        <v>809.99</v>
      </c>
      <c r="E25" s="7"/>
      <c r="F25" s="24"/>
      <c r="G25" s="8" t="s">
        <v>31</v>
      </c>
      <c r="H25" s="29">
        <f>MIN(I11:I19)</f>
        <v>8.2262202512996065</v>
      </c>
      <c r="I25" s="24"/>
    </row>
    <row r="26" spans="2:9" ht="14.45">
      <c r="B26" s="2">
        <v>327064</v>
      </c>
      <c r="C26" s="3" t="s">
        <v>32</v>
      </c>
      <c r="D26" s="12">
        <v>379.99</v>
      </c>
      <c r="E26" s="7"/>
      <c r="F26" s="24"/>
      <c r="G26" s="8" t="s">
        <v>33</v>
      </c>
      <c r="H26" s="33">
        <f>AVERAGE(I11:I19)</f>
        <v>19.234951820336377</v>
      </c>
      <c r="I26" s="24"/>
    </row>
    <row r="27" spans="2:9" ht="14.45">
      <c r="B27" s="2">
        <v>446229</v>
      </c>
      <c r="C27" s="3" t="s">
        <v>34</v>
      </c>
      <c r="D27" s="12">
        <v>1099.99</v>
      </c>
      <c r="E27" s="7"/>
      <c r="F27" s="24"/>
      <c r="G27" s="8" t="s">
        <v>35</v>
      </c>
      <c r="H27" s="29">
        <f>MAX(I11:I19)</f>
        <v>43.02829343512262</v>
      </c>
      <c r="I27" s="24"/>
    </row>
    <row r="28" spans="2:9" ht="14.45">
      <c r="B28" s="2">
        <v>446741</v>
      </c>
      <c r="C28" s="3" t="s">
        <v>36</v>
      </c>
      <c r="D28" s="12">
        <v>467.99</v>
      </c>
      <c r="E28" s="7"/>
      <c r="F28" s="24"/>
      <c r="G28" s="9" t="s">
        <v>37</v>
      </c>
      <c r="H28" s="30">
        <f>MEDIAN(I11:I19)</f>
        <v>13.661337208075329</v>
      </c>
      <c r="I28" s="24"/>
    </row>
    <row r="29" spans="2:9" ht="14.45">
      <c r="B29" s="2">
        <v>643081</v>
      </c>
      <c r="C29" s="3" t="s">
        <v>38</v>
      </c>
      <c r="D29" s="12">
        <v>599.99</v>
      </c>
      <c r="E29" s="7"/>
      <c r="F29" s="24"/>
      <c r="G29" s="24"/>
      <c r="H29" s="24"/>
      <c r="I29" s="24"/>
    </row>
    <row r="30" spans="2:9" ht="14.45">
      <c r="B30" s="2"/>
      <c r="C30" s="24"/>
      <c r="D30" s="24"/>
      <c r="E30" s="24"/>
      <c r="F30" s="24"/>
      <c r="G30" s="24"/>
      <c r="H30" s="24"/>
      <c r="I30" s="24"/>
    </row>
    <row r="31" spans="2:9" ht="14.45">
      <c r="D31" s="21"/>
      <c r="E31" s="21"/>
      <c r="F31" s="21"/>
      <c r="G31" s="21"/>
      <c r="H31" s="21"/>
      <c r="I31" s="21"/>
    </row>
    <row r="32" spans="2:9" ht="14.45">
      <c r="D32" s="21"/>
      <c r="E32" s="21"/>
      <c r="F32" s="21"/>
      <c r="G32" s="21"/>
      <c r="H32" s="21"/>
      <c r="I32" s="21"/>
    </row>
    <row r="33" spans="4:9" ht="14.45">
      <c r="D33" s="21"/>
      <c r="E33" s="21"/>
      <c r="F33" s="21"/>
      <c r="G33" s="21"/>
      <c r="H33" s="21"/>
      <c r="I33" s="21"/>
    </row>
    <row r="34" spans="4:9" ht="14.45">
      <c r="D34" s="21"/>
      <c r="E34" s="21"/>
      <c r="F34" s="21"/>
      <c r="G34" s="21"/>
      <c r="H34" s="21"/>
      <c r="I34" s="2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3gZqxzze442LbcBLbBiT17xxG6YpnpbKEBuykScq36RMHym9evfyq+ILd6zK+PQcZsRf0//9FQJ66UDoJ4ClMwL8afZjjXJZ-~cgV5iMRsq55n5kb3WAXE1w==#@#11991402#@#9/9/2022 4:46:50 PM</id>
</project>
</file>

<file path=customXml/itemProps1.xml><?xml version="1.0" encoding="utf-8"?>
<ds:datastoreItem xmlns:ds="http://schemas.openxmlformats.org/officeDocument/2006/customXml" ds:itemID="{EBFEBFBE-6C2F-48C3-8DB1-AB3542071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/>
  <cp:revision/>
  <dcterms:created xsi:type="dcterms:W3CDTF">2018-03-15T23:03:00Z</dcterms:created>
  <dcterms:modified xsi:type="dcterms:W3CDTF">2026-02-20T17:27:57Z</dcterms:modified>
  <cp:category/>
  <cp:contentStatus/>
</cp:coreProperties>
</file>