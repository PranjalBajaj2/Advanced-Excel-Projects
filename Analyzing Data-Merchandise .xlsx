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C7E93B9-C257-4091-BE1D-289DD791E70B}" xr6:coauthVersionLast="47" xr6:coauthVersionMax="47" xr10:uidLastSave="{00000000-0000-0000-0000-000000000000}"/>
  <bookViews>
    <workbookView xWindow="0" yWindow="0" windowWidth="19200" windowHeight="8300" firstSheet="2" activeTab="4" xr2:uid="{00000000-000D-0000-FFFF-FFFF00000000}"/>
  </bookViews>
  <sheets>
    <sheet name="Apparel" sheetId="1" r:id="rId1"/>
    <sheet name="Sales PivotTable" sheetId="4" r:id="rId2"/>
    <sheet name="Sale Prices" sheetId="5" r:id="rId3"/>
    <sheet name="Qtr1" sheetId="2" r:id="rId4"/>
    <sheet name="Employee" sheetId="3" r:id="rId5"/>
  </sheets>
  <definedNames>
    <definedName name="NativeTimeline_Month">#N/A</definedName>
  </definedNames>
  <calcPr calcId="191028"/>
  <pivotCaches>
    <pivotCache cacheId="1540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E17" i="1"/>
  <c r="E12" i="1"/>
  <c r="E9" i="1"/>
  <c r="E4" i="1"/>
  <c r="E18" i="1" l="1"/>
  <c r="H57" i="2"/>
  <c r="F57" i="2"/>
  <c r="H56" i="2"/>
  <c r="F56" i="2"/>
  <c r="H55" i="2"/>
  <c r="F55" i="2"/>
  <c r="H54" i="2"/>
  <c r="F54" i="2"/>
  <c r="H53" i="2"/>
  <c r="F53" i="2"/>
  <c r="H52" i="2"/>
  <c r="F52" i="2"/>
  <c r="H51" i="2"/>
  <c r="F51" i="2"/>
  <c r="H50" i="2"/>
  <c r="F50" i="2"/>
  <c r="H49" i="2"/>
  <c r="F49" i="2"/>
  <c r="H48" i="2"/>
  <c r="F48" i="2"/>
  <c r="H47" i="2"/>
  <c r="F47" i="2"/>
  <c r="H46" i="2"/>
  <c r="F46" i="2"/>
  <c r="H45" i="2"/>
  <c r="F45" i="2"/>
  <c r="H44" i="2"/>
  <c r="F44" i="2"/>
  <c r="H43" i="2"/>
  <c r="F43" i="2"/>
  <c r="H42" i="2"/>
  <c r="F42" i="2"/>
  <c r="H41" i="2"/>
  <c r="F41" i="2"/>
  <c r="H40" i="2"/>
  <c r="F40" i="2"/>
  <c r="H39" i="2"/>
  <c r="F39" i="2"/>
  <c r="H38" i="2"/>
  <c r="F38" i="2"/>
  <c r="H37" i="2"/>
  <c r="F37" i="2"/>
  <c r="H36" i="2"/>
  <c r="F36" i="2"/>
  <c r="H35" i="2"/>
  <c r="F35" i="2"/>
  <c r="H34" i="2"/>
  <c r="F34" i="2"/>
  <c r="H33" i="2"/>
  <c r="F33" i="2"/>
  <c r="H32" i="2"/>
  <c r="F32" i="2"/>
  <c r="H31" i="2"/>
  <c r="F31" i="2"/>
  <c r="H30" i="2"/>
  <c r="F30" i="2"/>
  <c r="H29" i="2"/>
  <c r="F29" i="2"/>
  <c r="H28" i="2"/>
  <c r="F28" i="2"/>
  <c r="H27" i="2"/>
  <c r="F27" i="2"/>
  <c r="H26" i="2"/>
  <c r="F26" i="2"/>
  <c r="H25" i="2"/>
  <c r="F25" i="2"/>
  <c r="H24" i="2"/>
  <c r="F24" i="2"/>
  <c r="H23" i="2"/>
  <c r="F23" i="2"/>
  <c r="H22" i="2"/>
  <c r="F22" i="2"/>
  <c r="H21" i="2"/>
  <c r="F21" i="2"/>
  <c r="H20" i="2"/>
  <c r="F20" i="2"/>
  <c r="H19" i="2"/>
  <c r="F19" i="2"/>
  <c r="H18" i="2"/>
  <c r="F18" i="2"/>
  <c r="H17" i="2"/>
  <c r="F17" i="2"/>
  <c r="H16" i="2"/>
  <c r="F16" i="2"/>
  <c r="H15" i="2"/>
  <c r="F15" i="2"/>
  <c r="H14" i="2"/>
  <c r="F14" i="2"/>
  <c r="H13" i="2"/>
  <c r="F13" i="2"/>
  <c r="H12" i="2"/>
  <c r="F12" i="2"/>
  <c r="H11" i="2"/>
  <c r="F11" i="2"/>
  <c r="H10" i="2"/>
  <c r="F10" i="2"/>
  <c r="H9" i="2"/>
  <c r="F9" i="2"/>
  <c r="H8" i="2"/>
  <c r="F8" i="2"/>
  <c r="H7" i="2"/>
  <c r="F7" i="2"/>
  <c r="H6" i="2"/>
  <c r="F6" i="2"/>
  <c r="H5" i="2"/>
  <c r="F5" i="2"/>
  <c r="F4" i="2"/>
  <c r="F16" i="1"/>
  <c r="F8" i="1"/>
  <c r="F7" i="1"/>
  <c r="F15" i="1"/>
  <c r="F6" i="1"/>
  <c r="F11" i="1"/>
  <c r="F5" i="1"/>
  <c r="F3" i="1"/>
  <c r="F14" i="1"/>
  <c r="F13" i="1"/>
  <c r="F10" i="1"/>
  <c r="F12" i="1" s="1"/>
  <c r="F2" i="1"/>
  <c r="F9" i="1" l="1"/>
  <c r="F17" i="1"/>
  <c r="F4" i="1"/>
  <c r="F18" i="1" l="1"/>
</calcChain>
</file>

<file path=xl/sharedStrings.xml><?xml version="1.0" encoding="utf-8"?>
<sst xmlns="http://schemas.openxmlformats.org/spreadsheetml/2006/main" count="192" uniqueCount="55">
  <si>
    <t>Category</t>
  </si>
  <si>
    <t>Size/Details</t>
  </si>
  <si>
    <t>Week</t>
  </si>
  <si>
    <t>Price</t>
  </si>
  <si>
    <t>Qty Sold</t>
  </si>
  <si>
    <t>Gross Revenue</t>
  </si>
  <si>
    <t>Hoodie</t>
  </si>
  <si>
    <t>Youth</t>
  </si>
  <si>
    <t>Week 1</t>
  </si>
  <si>
    <t xml:space="preserve">Adult </t>
  </si>
  <si>
    <t>Hoodie Total</t>
  </si>
  <si>
    <t>T-shirt</t>
  </si>
  <si>
    <t>Youth Touring Cities</t>
  </si>
  <si>
    <t>Youth Main Logo</t>
  </si>
  <si>
    <t>Adult Main Logo</t>
  </si>
  <si>
    <t>Adult Touring Cities</t>
  </si>
  <si>
    <t>T-shirt Total</t>
  </si>
  <si>
    <t>Week 2</t>
  </si>
  <si>
    <t>Grand Total</t>
  </si>
  <si>
    <t>Total Gross Revenue</t>
  </si>
  <si>
    <t>Total Qty Sold</t>
  </si>
  <si>
    <t>Apparel</t>
  </si>
  <si>
    <t>Media</t>
  </si>
  <si>
    <t>Souvenirs</t>
  </si>
  <si>
    <t>Product</t>
  </si>
  <si>
    <t>Item Retail Price</t>
  </si>
  <si>
    <t>Ceramic Mug</t>
  </si>
  <si>
    <t>Insulated Water Bottle</t>
  </si>
  <si>
    <t>Keychain</t>
  </si>
  <si>
    <t>Magnet</t>
  </si>
  <si>
    <t>Necklace</t>
  </si>
  <si>
    <t>Ornament</t>
  </si>
  <si>
    <t>Stuffed Animal</t>
  </si>
  <si>
    <t>March Gross Revenue:</t>
  </si>
  <si>
    <t>Month</t>
  </si>
  <si>
    <t>Cost</t>
  </si>
  <si>
    <t>Retail Price</t>
  </si>
  <si>
    <t>Markup Amount</t>
  </si>
  <si>
    <t>Hat</t>
  </si>
  <si>
    <t>T-shirt: Women's</t>
  </si>
  <si>
    <t>T-shirt: Men's</t>
  </si>
  <si>
    <t>T-shirt: Unisex</t>
  </si>
  <si>
    <t>T-shirt: Touring Cities</t>
  </si>
  <si>
    <t>T-shirt: Youth</t>
  </si>
  <si>
    <t>Book</t>
  </si>
  <si>
    <t>Cast Recording CD</t>
  </si>
  <si>
    <t>DVD Behind the Scenes</t>
  </si>
  <si>
    <t>Souvenir Program</t>
  </si>
  <si>
    <t>ID</t>
  </si>
  <si>
    <t>LastName</t>
  </si>
  <si>
    <t>Ezrah</t>
  </si>
  <si>
    <t>Bijou</t>
  </si>
  <si>
    <t>Skyler</t>
  </si>
  <si>
    <t>Jaden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</si>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</sst>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[$-409]mmmm\-yy;@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6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</cellStyleXfs>
  <cellXfs count="26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/>
    <xf numFmtId="0" fontId="0" fillId="2" borderId="0" xfId="0" applyFill="1" applyAlignment="1">
      <alignment horizontal="right"/>
    </xf>
    <xf numFmtId="164" fontId="0" fillId="2" borderId="0" xfId="1" applyNumberFormat="1" applyFont="1" applyFill="1"/>
    <xf numFmtId="0" fontId="2" fillId="2" borderId="0" xfId="0" applyFont="1" applyFill="1" applyAlignment="1">
      <alignment horizontal="center" wrapText="1"/>
    </xf>
    <xf numFmtId="165" fontId="0" fillId="0" borderId="0" xfId="0" applyNumberFormat="1"/>
    <xf numFmtId="44" fontId="0" fillId="0" borderId="0" xfId="1" applyFont="1" applyFill="1"/>
    <xf numFmtId="44" fontId="1" fillId="0" borderId="0" xfId="1" applyFont="1"/>
    <xf numFmtId="44" fontId="0" fillId="0" borderId="0" xfId="1" applyFont="1"/>
    <xf numFmtId="0" fontId="0" fillId="0" borderId="0" xfId="0" applyAlignment="1">
      <alignment horizontal="center"/>
    </xf>
    <xf numFmtId="0" fontId="1" fillId="0" borderId="0" xfId="18"/>
    <xf numFmtId="0" fontId="2" fillId="0" borderId="0" xfId="19" applyFont="1"/>
    <xf numFmtId="0" fontId="2" fillId="0" borderId="0" xfId="20" applyFont="1" applyAlignment="1">
      <alignment horizontal="center" vertical="top"/>
    </xf>
    <xf numFmtId="0" fontId="2" fillId="0" borderId="0" xfId="21" applyFont="1" applyAlignment="1">
      <alignment horizontal="center"/>
    </xf>
    <xf numFmtId="0" fontId="1" fillId="0" borderId="0" xfId="22" applyAlignment="1">
      <alignment horizontal="center" vertical="top"/>
    </xf>
    <xf numFmtId="164" fontId="1" fillId="0" borderId="0" xfId="23" applyNumberFormat="1" applyFont="1"/>
    <xf numFmtId="164" fontId="1" fillId="0" borderId="0" xfId="24" applyNumberFormat="1"/>
    <xf numFmtId="0" fontId="1" fillId="2" borderId="0" xfId="25" applyFill="1"/>
    <xf numFmtId="164" fontId="2" fillId="0" borderId="0" xfId="18" applyNumberFormat="1" applyFont="1"/>
    <xf numFmtId="0" fontId="2" fillId="0" borderId="0" xfId="18" applyFont="1"/>
    <xf numFmtId="0" fontId="0" fillId="0" borderId="0" xfId="0" pivotButton="1"/>
    <xf numFmtId="42" fontId="0" fillId="0" borderId="0" xfId="0" applyNumberFormat="1"/>
    <xf numFmtId="3" fontId="0" fillId="0" borderId="0" xfId="0" applyNumberFormat="1"/>
    <xf numFmtId="164" fontId="1" fillId="0" borderId="0" xfId="24" applyNumberFormat="1" applyAlignment="1">
      <alignment wrapText="1"/>
    </xf>
    <xf numFmtId="164" fontId="0" fillId="0" borderId="0" xfId="0" applyNumberFormat="1"/>
  </cellXfs>
  <cellStyles count="26">
    <cellStyle name="+OuuZjGQoC1Y2n8fNXPXCCmZL6/A0A725AUYxvp0fJEgGIb3QsIuF8InuanuNS7pFqUfhT3ckjKbX0o2p71E+4Uw5iW2ZiHw-~vR3Jw97I99QG8003TEWktA==" xfId="5" xr:uid="{00000000-0005-0000-0000-000000000000}"/>
    <cellStyle name="1aHQr6iXCu1NWhFfoDiDDsoj+nXs3Xpjm7rQXTggyvJMC2tYgA7fnXc3wHyqsLuYyOArDooewP+itrCsyMACXnR/hDeyU64K-~daPC0vBFRuIR/uaQrz8P8A==" xfId="2" xr:uid="{00000000-0005-0000-0000-000001000000}"/>
    <cellStyle name="39NklNq67nkja+U5Iyf81DhpT8B8JlaTxgafzbQ9oFOFn32rGZaVyv3MC4rd5nTDXoiODLbkFI+fBCh8YZUt5uKXYG6AkP59-~erZcCVrcT2HgEPlKdOLzqg==" xfId="10" xr:uid="{00000000-0005-0000-0000-000002000000}"/>
    <cellStyle name="3HMl+n6deHqKVJDbFqGOZLEryYhohLns+Wz2+2eYz1W3k8dofdET2Ed9BkqqwFbJIFToxg+vZ5QUIj4KSV6KyIr4wTf9Bpll-~vdwS2MFZjUfvwZARd8wEgg==" xfId="6" xr:uid="{00000000-0005-0000-0000-000003000000}"/>
    <cellStyle name="4ReX7NHZG3WhXA/yzJCf4qeF+pNl/Ci+jCWSvNP/r92fULR7wQwwfCny93W5zR8Ix5uCxoUrNBCHDiN5y3gpvhkaTXFgn3rS-~Hn/z7bWyLybnuV5U/zDsZw==" xfId="22" xr:uid="{00000000-0005-0000-0000-000004000000}"/>
    <cellStyle name="6+Qy2mFYLVpi2eQzwkP0Ur1KnoMXMokl1n/6llPdbWp83hbAPDEXUF8vMmZhFacaORygF77UJ/+K9m6SMt8+PLTTkpewcrx6-~/3UXfe4vkOdu0+VrZz2Rsw==" xfId="18" xr:uid="{00000000-0005-0000-0000-000005000000}"/>
    <cellStyle name="a5v+/KXY7GIGnegVm9S5M/2YAqIKf43qKpyHRZJz6xds7b4gW0tPpm2RpjAHGPS+zCz9Fvu4KMY83tXtCZr/DkiODlFtma8p-~2bCrBmajdQokxG+BDooZsg==" xfId="20" xr:uid="{00000000-0005-0000-0000-000006000000}"/>
    <cellStyle name="aWC+HkLj4nUp1zKx+sxQnUOi4Yn3NeOI/JkuVN6Z0O4SgW77R0+ZsPuTCK9KbwJq1LUEIlvRKDkb5t0up/NZ4XgY9WK50rAV-~tcQl4RSw9AsCbEdnr60AdA==" xfId="14" xr:uid="{00000000-0005-0000-0000-000007000000}"/>
    <cellStyle name="bfra8ctPmU7H+qXNvCCKTgCtbb06gT1HUH7kU9Z787NuBAnfawvbxGyZox2Ggh09G9GkWUVrpGmYvbH+u5STKGB0u/oqrHSG-~2hrX+5Y1K12HSgHHXi8q0A==" xfId="12" xr:uid="{00000000-0005-0000-0000-000008000000}"/>
    <cellStyle name="Currency" xfId="1" builtinId="4"/>
    <cellStyle name="EnBFCOheZPz1T002lLd6OluNRRc7PMXFvtB/z62pLt68zj96PW5wvmDSFRJ7oSXxf/ZgpkM3dmQ+a4ikkYm/LFYWSj0VWIsr-~XCFC8qnf9D21pykJil4xzQ==" xfId="11" xr:uid="{00000000-0005-0000-0000-00000A000000}"/>
    <cellStyle name="ffyG7a7ddzenQHlvjgKQawnexXp0nGoS0SQMPqx4vF6gGlXe91CDMMRE6MaHv70ZI9i1DY+gl85F8y9hyf8YN701w5mI9NtL-~ASzrduMqd3+PQJst359skA==" xfId="23" xr:uid="{00000000-0005-0000-0000-00000B000000}"/>
    <cellStyle name="FssKUJO+zBIlkwC+Ylq7n0sGwn9ABAHghsRAHVerusWde+t3X7fuw1GXKmQGwYnV/U9FDuQBkz+QfqaHe+rpZifToEo1EoK5-~3rH7Ltu2smQ2YPgfr6/cMQ==" xfId="19" xr:uid="{00000000-0005-0000-0000-00000C000000}"/>
    <cellStyle name="fY8WS5R2kupn9v1onijcSmZt4RTCjvyLK7a+R28LYiukuTcsyrfLfXax0678GiKkSEkGZRrVrBsO+8J9zKswPW6Rw3bYrFID-~lW1MmrbdkJ4++Pp6asVRtg==" xfId="7" xr:uid="{00000000-0005-0000-0000-00000D000000}"/>
    <cellStyle name="h3xtlETMzu+HeiKUfb6uanyan9+k4nrTCaQVHaxFo4FJqT5CP7a2YG4U7rWxlnm7qW9Xo+8vA+ilffyUgn2+RLJqmnqjYdt3-~ENdmkEAmPrpml5wQEkyfCg==" xfId="25" xr:uid="{00000000-0005-0000-0000-00000E000000}"/>
    <cellStyle name="hXzlzVd82JUTKPo5+0G6MmGTt2ti6AUmos6QF6byui4lWs3OWBjEEzVXnLdAx+JAlc62Cijy0ETylgecUevG1eoKYaztLHy4-~jQr1y5DeAKqSGka7fQXtdA==" xfId="8" xr:uid="{00000000-0005-0000-0000-00000F000000}"/>
    <cellStyle name="Jw9ufwZ5ckpsaUdD0J1l8R2VRp15j7lhEM36UzTs9R4eUhnwcra+Pu6GVtN+cIl2Q4DdlFsVTZRpVFqGd2eTi/PEYgzPYOZk-~vPSBq70tLjts8qxijUFsng==" xfId="4" xr:uid="{00000000-0005-0000-0000-000010000000}"/>
    <cellStyle name="L6s+XdOqLMciHcLto+Gjn/SEPH43/Ocrw/J0Z5wcEA1hilJx28O0JYzob9UGi30crzUF7cNI0ZkWpWCs0cf34ikB+o9GNK+r-~A9JH0SpavYv4zB+0HSOlEA==" xfId="3" xr:uid="{00000000-0005-0000-0000-000011000000}"/>
    <cellStyle name="MaJ0jPg2SbXbSm5x5UGK1rEPTdfC/Tq4aezqIW/01+MlHy7QgnirSzAicj3z5Y0bJCGlo+658nPfoqPvRos843nDjaEZ5Jg9-~hy4gw1WThWWkiPdnY2uJMA==" xfId="24" xr:uid="{00000000-0005-0000-0000-000012000000}"/>
    <cellStyle name="Normal" xfId="0" builtinId="0"/>
    <cellStyle name="pQYSIvIl+dGSSRwbY8NOi8/lFNu38+HllZdBaj8M4IStAud1sxzr5XdqYxsTcfUQQD8fjKaS+GL9N6YYMGuaHT8i+WratRDK-~5u25iGc3oj+SNH41Izx4/w==" xfId="15" xr:uid="{00000000-0005-0000-0000-000014000000}"/>
    <cellStyle name="RqKeTfMzAJIpHLu2S6/u1um9UcMdqsovZtW9Z36EVTnsoguNYjgb5G5WkdaCwJ0b63SLHY83jsXiQjnXDk3m2x7wK7OQ885V-~v9d1sHIYC0/eIU0m5bhibQ==" xfId="9" xr:uid="{00000000-0005-0000-0000-000015000000}"/>
    <cellStyle name="uVoA9Q5ENDm8xS8ixatisWhk2GmzToWhF6TjM7FQQ3+QtIonQB/ElKu4zZ34raSyCXDrMH0/Xe/U3O3NCdpfhva64j8GAyou-~anzWh1251SveIZTM71KfMA==" xfId="21" xr:uid="{00000000-0005-0000-0000-000016000000}"/>
    <cellStyle name="UyXwDt8BLYAoltOlTu6SafRgfF8lZyXR49hf7TsFkVsLHPzxxO9oN7oB3amckofB1gnw7XtdDZNZg1b/e7mdLXptw8FfXeFS-~zak4ae6ZtXOu8eGJNTVqGQ==" xfId="13" xr:uid="{00000000-0005-0000-0000-000017000000}"/>
    <cellStyle name="VcgeFfqIgQQHN4CnXzp1vnRITibJxn4k3DTigh0LBT4s5JSxNXNYLmDy7TydVPHz3jEIH6+/q+w7gMdPD8dJlHFLS8EhRK5s-~ZNlWIIoQ+S2b0AWaGhoSyg==" xfId="16" xr:uid="{00000000-0005-0000-0000-000018000000}"/>
    <cellStyle name="X1VCxgW3O8l1VXarClEmt8GF5Dx3g2LBuW2Ef7ZvTWljTq0DfG+6Yo0PreiWywqTX/l9tCPHML8uR0eCNDtI6kY75c9tiJTI-~g112zDIYFTKOCsWgE5SOhQ==" xfId="17" xr:uid="{00000000-0005-0000-0000-000019000000}"/>
  </cellStyles>
  <dxfs count="3">
    <dxf>
      <numFmt numFmtId="164" formatCode="_(&quot;$&quot;* #,##0_);_(&quot;$&quot;* \(#,##0\);_(&quot;$&quot;* &quot;-&quot;??_);_(@_)"/>
    </dxf>
    <dxf>
      <numFmt numFmtId="32" formatCode="_(&quot;$&quot;* #,##0_);_(&quot;$&quot;* \(#,##0\);_(&quot;$&quot;* &quot;-&quot;_);_(@_)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[Suma_Exp22_Excel_Ch05_Cumulative_Merchandise.xlsx]Sales PivotTable!Qtr1 Sales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PivotTable'!$B$3</c:f>
              <c:strCache>
                <c:ptCount val="1"/>
                <c:pt idx="0">
                  <c:v>Total Gross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DB-4F76-8C88-FA942972D6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DB-4F76-8C88-FA942972D6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DB-4F76-8C88-FA942972D6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'Sales PivotTable'!$A$4:$A$7</c:f>
              <c:strCache>
                <c:ptCount val="3"/>
                <c:pt idx="0">
                  <c:v>Apparel</c:v>
                </c:pt>
                <c:pt idx="1">
                  <c:v>Media</c:v>
                </c:pt>
                <c:pt idx="2">
                  <c:v>Souvenirs</c:v>
                </c:pt>
              </c:strCache>
            </c:strRef>
          </c:cat>
          <c:val>
            <c:numRef>
              <c:f>'Sales PivotTable'!$B$4:$B$7</c:f>
              <c:numCache>
                <c:formatCode>_("$"* #,##0_);_("$"* \(#,##0\);_("$"* "-"_);_(@_)</c:formatCode>
                <c:ptCount val="3"/>
                <c:pt idx="0">
                  <c:v>45750</c:v>
                </c:pt>
                <c:pt idx="1">
                  <c:v>22685</c:v>
                </c:pt>
                <c:pt idx="2">
                  <c:v>27135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DB-4F76-8C88-FA942972D65A}"/>
            </c:ext>
          </c:extLst>
        </c:ser>
        <c:ser>
          <c:idx val="1"/>
          <c:order val="1"/>
          <c:tx>
            <c:strRef>
              <c:f>'Sales PivotTable'!$C$3</c:f>
              <c:strCache>
                <c:ptCount val="1"/>
                <c:pt idx="0">
                  <c:v>Total Qty Sold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DDB-4F76-8C88-FA942972D6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DDB-4F76-8C88-FA942972D6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DDB-4F76-8C88-FA942972D6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PivotTable'!$A$4:$A$7</c:f>
              <c:strCache>
                <c:ptCount val="3"/>
                <c:pt idx="0">
                  <c:v>Apparel</c:v>
                </c:pt>
                <c:pt idx="1">
                  <c:v>Media</c:v>
                </c:pt>
                <c:pt idx="2">
                  <c:v>Souvenirs</c:v>
                </c:pt>
              </c:strCache>
            </c:strRef>
          </c:cat>
          <c:val>
            <c:numRef>
              <c:f>'Sales PivotTable'!$C$4:$C$7</c:f>
              <c:numCache>
                <c:formatCode>#,##0</c:formatCode>
                <c:ptCount val="3"/>
                <c:pt idx="0">
                  <c:v>1221</c:v>
                </c:pt>
                <c:pt idx="1">
                  <c:v>908</c:v>
                </c:pt>
                <c:pt idx="2">
                  <c:v>1161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DDB-4F76-8C88-FA942972D65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180975</xdr:rowOff>
    </xdr:from>
    <xdr:to>
      <xdr:col>2</xdr:col>
      <xdr:colOff>800100</xdr:colOff>
      <xdr:row>14</xdr:row>
      <xdr:rowOff>180975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Month">
              <a:extLst>
                <a:ext uri="{FF2B5EF4-FFF2-40B4-BE49-F238E27FC236}">
                  <a16:creationId xmlns:a16="http://schemas.microsoft.com/office/drawing/2014/main" id="{7B36A7DD-C26F-E8F1-32ED-88CDCB6D23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14475"/>
              <a:ext cx="287655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3</xdr:col>
      <xdr:colOff>0</xdr:colOff>
      <xdr:row>0</xdr:row>
      <xdr:rowOff>0</xdr:rowOff>
    </xdr:from>
    <xdr:to>
      <xdr:col>11</xdr:col>
      <xdr:colOff>381000</xdr:colOff>
      <xdr:row>14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26D3BB-79DF-43EE-9979-1806476E40D6}"/>
            </a:ext>
            <a:ext uri="{147F2762-F138-4A5C-976F-8EAC2B608ADB}">
              <a16:predDERef xmlns:a16="http://schemas.microsoft.com/office/drawing/2014/main" pred="{7B36A7DD-C26F-E8F1-32ED-88CDCB6D2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8.433907870371" createdVersion="8" refreshedVersion="8" minRefreshableVersion="3" recordCount="54" xr:uid="{D39B1071-9624-4703-9837-94BD4E6D6293}">
  <cacheSource type="worksheet">
    <worksheetSource ref="A3:H57" sheet="Qtr1"/>
  </cacheSource>
  <cacheFields count="8">
    <cacheField name="Category" numFmtId="0">
      <sharedItems count="3">
        <s v="Apparel"/>
        <s v="Souvenirs"/>
        <s v="Media"/>
      </sharedItems>
    </cacheField>
    <cacheField name="Product" numFmtId="0">
      <sharedItems count="18">
        <s v="Hat"/>
        <s v="Hoodie"/>
        <s v="T-shirt: Women's"/>
        <s v="T-shirt: Men's"/>
        <s v="T-shirt: Unisex"/>
        <s v="T-shirt: Touring Cities"/>
        <s v="T-shirt: Youth"/>
        <s v="Ceramic Mug"/>
        <s v="Ornament"/>
        <s v="Keychain"/>
        <s v="Insulated Water Bottle"/>
        <s v="Necklace"/>
        <s v="Stuffed Animal"/>
        <s v="Magnet"/>
        <s v="Book"/>
        <s v="Cast Recording CD"/>
        <s v="DVD Behind the Scenes"/>
        <s v="Souvenir Program"/>
      </sharedItems>
    </cacheField>
    <cacheField name="Month" numFmtId="165">
      <sharedItems containsSemiMixedTypes="0" containsNonDate="0" containsDate="1" containsString="0" minDate="2024-01-31T00:00:00" maxDate="2024-04-01T00:00:00" count="3">
        <d v="2024-01-31T00:00:00"/>
        <d v="2024-02-29T00:00:00"/>
        <d v="2024-03-31T00:00:00"/>
      </sharedItems>
    </cacheField>
    <cacheField name="Cost" numFmtId="44">
      <sharedItems containsSemiMixedTypes="0" containsString="0" containsNumber="1" minValue="1.25" maxValue="25.25"/>
    </cacheField>
    <cacheField name="Retail Price" numFmtId="164">
      <sharedItems containsSemiMixedTypes="0" containsString="0" containsNumber="1" containsInteger="1" minValue="10" maxValue="70"/>
    </cacheField>
    <cacheField name="Markup Amount" numFmtId="44">
      <sharedItems containsSemiMixedTypes="0" containsString="0" containsNumber="1" minValue="8.75" maxValue="44.75"/>
    </cacheField>
    <cacheField name="Qty Sold" numFmtId="0">
      <sharedItems containsSemiMixedTypes="0" containsString="0" containsNumber="1" containsInteger="1" minValue="31" maxValue="541"/>
    </cacheField>
    <cacheField name="Gross Revenue" numFmtId="164">
      <sharedItems containsSemiMixedTypes="0" containsString="0" containsNumber="1" containsInteger="1" minValue="960" maxValue="95570"/>
    </cacheField>
  </cacheFields>
  <extLst>
    <ext xmlns:x14="http://schemas.microsoft.com/office/spreadsheetml/2009/9/main" uri="{725AE2AE-9491-48be-B2B4-4EB974FC3084}">
      <x14:pivotCacheDefinition pivotCacheId="41016611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x v="0"/>
    <x v="0"/>
    <n v="5.95"/>
    <n v="20"/>
    <n v="14.05"/>
    <n v="31"/>
    <n v="95570"/>
  </r>
  <r>
    <x v="0"/>
    <x v="1"/>
    <x v="0"/>
    <n v="25.25"/>
    <n v="70"/>
    <n v="44.75"/>
    <n v="325"/>
    <n v="22750"/>
  </r>
  <r>
    <x v="0"/>
    <x v="2"/>
    <x v="0"/>
    <n v="7.1"/>
    <n v="30"/>
    <n v="22.9"/>
    <n v="247"/>
    <n v="7410"/>
  </r>
  <r>
    <x v="0"/>
    <x v="3"/>
    <x v="0"/>
    <n v="7.1"/>
    <n v="30"/>
    <n v="22.9"/>
    <n v="231"/>
    <n v="6930"/>
  </r>
  <r>
    <x v="0"/>
    <x v="4"/>
    <x v="0"/>
    <n v="5"/>
    <n v="25"/>
    <n v="20"/>
    <n v="325"/>
    <n v="8125"/>
  </r>
  <r>
    <x v="0"/>
    <x v="5"/>
    <x v="0"/>
    <n v="6.95"/>
    <n v="35"/>
    <n v="28.05"/>
    <n v="315"/>
    <n v="11025"/>
  </r>
  <r>
    <x v="0"/>
    <x v="6"/>
    <x v="0"/>
    <n v="4"/>
    <n v="25"/>
    <n v="21"/>
    <n v="244"/>
    <n v="6100"/>
  </r>
  <r>
    <x v="1"/>
    <x v="7"/>
    <x v="0"/>
    <n v="5"/>
    <n v="20"/>
    <n v="15"/>
    <n v="541"/>
    <n v="10820"/>
  </r>
  <r>
    <x v="1"/>
    <x v="8"/>
    <x v="0"/>
    <n v="7.5"/>
    <n v="25"/>
    <n v="17.5"/>
    <n v="84"/>
    <n v="2100"/>
  </r>
  <r>
    <x v="1"/>
    <x v="9"/>
    <x v="0"/>
    <n v="3.25"/>
    <n v="15"/>
    <n v="11.75"/>
    <n v="99"/>
    <n v="1485"/>
  </r>
  <r>
    <x v="1"/>
    <x v="10"/>
    <x v="0"/>
    <n v="6.95"/>
    <n v="30"/>
    <n v="23.05"/>
    <n v="132"/>
    <n v="3960"/>
  </r>
  <r>
    <x v="1"/>
    <x v="11"/>
    <x v="0"/>
    <n v="4.55"/>
    <n v="20"/>
    <n v="15.45"/>
    <n v="74"/>
    <n v="1480"/>
  </r>
  <r>
    <x v="1"/>
    <x v="12"/>
    <x v="0"/>
    <n v="10"/>
    <n v="40"/>
    <n v="30"/>
    <n v="182"/>
    <n v="7280"/>
  </r>
  <r>
    <x v="1"/>
    <x v="13"/>
    <x v="0"/>
    <n v="1.25"/>
    <n v="10"/>
    <n v="8.75"/>
    <n v="201"/>
    <n v="2010"/>
  </r>
  <r>
    <x v="2"/>
    <x v="14"/>
    <x v="0"/>
    <n v="7.95"/>
    <n v="35"/>
    <n v="27.05"/>
    <n v="93"/>
    <n v="3255"/>
  </r>
  <r>
    <x v="2"/>
    <x v="15"/>
    <x v="0"/>
    <n v="5.95"/>
    <n v="25"/>
    <n v="19.05"/>
    <n v="174"/>
    <n v="4350"/>
  </r>
  <r>
    <x v="2"/>
    <x v="16"/>
    <x v="0"/>
    <n v="9.9499999999999993"/>
    <n v="25"/>
    <n v="15.05"/>
    <n v="191"/>
    <n v="4775"/>
  </r>
  <r>
    <x v="2"/>
    <x v="17"/>
    <x v="0"/>
    <n v="9.9499999999999993"/>
    <n v="20"/>
    <n v="10.050000000000001"/>
    <n v="307"/>
    <n v="6140"/>
  </r>
  <r>
    <x v="0"/>
    <x v="0"/>
    <x v="1"/>
    <n v="5.95"/>
    <n v="20"/>
    <n v="14.05"/>
    <n v="48"/>
    <n v="960"/>
  </r>
  <r>
    <x v="0"/>
    <x v="1"/>
    <x v="1"/>
    <n v="25.25"/>
    <n v="70"/>
    <n v="44.75"/>
    <n v="294"/>
    <n v="20580"/>
  </r>
  <r>
    <x v="0"/>
    <x v="2"/>
    <x v="1"/>
    <n v="7.1"/>
    <n v="30"/>
    <n v="22.9"/>
    <n v="186"/>
    <n v="5580"/>
  </r>
  <r>
    <x v="0"/>
    <x v="3"/>
    <x v="1"/>
    <n v="7.1"/>
    <n v="30"/>
    <n v="22.9"/>
    <n v="160"/>
    <n v="4800"/>
  </r>
  <r>
    <x v="0"/>
    <x v="4"/>
    <x v="1"/>
    <n v="5"/>
    <n v="25"/>
    <n v="20"/>
    <n v="109"/>
    <n v="2725"/>
  </r>
  <r>
    <x v="0"/>
    <x v="5"/>
    <x v="1"/>
    <n v="6.95"/>
    <n v="35"/>
    <n v="28.05"/>
    <n v="264"/>
    <n v="9240"/>
  </r>
  <r>
    <x v="0"/>
    <x v="6"/>
    <x v="1"/>
    <n v="4"/>
    <n v="25"/>
    <n v="21"/>
    <n v="133"/>
    <n v="3325"/>
  </r>
  <r>
    <x v="1"/>
    <x v="7"/>
    <x v="1"/>
    <n v="5"/>
    <n v="20"/>
    <n v="15"/>
    <n v="458"/>
    <n v="9160"/>
  </r>
  <r>
    <x v="1"/>
    <x v="8"/>
    <x v="1"/>
    <n v="7.5"/>
    <n v="25"/>
    <n v="17.5"/>
    <n v="63"/>
    <n v="1575"/>
  </r>
  <r>
    <x v="1"/>
    <x v="9"/>
    <x v="1"/>
    <n v="3.25"/>
    <n v="15"/>
    <n v="11.75"/>
    <n v="101"/>
    <n v="1515"/>
  </r>
  <r>
    <x v="1"/>
    <x v="10"/>
    <x v="1"/>
    <n v="6.95"/>
    <n v="30"/>
    <n v="23.05"/>
    <n v="128"/>
    <n v="3840"/>
  </r>
  <r>
    <x v="1"/>
    <x v="11"/>
    <x v="1"/>
    <n v="4.55"/>
    <n v="20"/>
    <n v="15.45"/>
    <n v="86"/>
    <n v="1720"/>
  </r>
  <r>
    <x v="1"/>
    <x v="12"/>
    <x v="1"/>
    <n v="10"/>
    <n v="40"/>
    <n v="30"/>
    <n v="175"/>
    <n v="7000"/>
  </r>
  <r>
    <x v="1"/>
    <x v="13"/>
    <x v="1"/>
    <n v="1.25"/>
    <n v="10"/>
    <n v="8.75"/>
    <n v="115"/>
    <n v="1150"/>
  </r>
  <r>
    <x v="2"/>
    <x v="14"/>
    <x v="1"/>
    <n v="7.95"/>
    <n v="35"/>
    <n v="27.05"/>
    <n v="102"/>
    <n v="3570"/>
  </r>
  <r>
    <x v="2"/>
    <x v="15"/>
    <x v="1"/>
    <n v="5.95"/>
    <n v="25"/>
    <n v="19.05"/>
    <n v="204"/>
    <n v="5100"/>
  </r>
  <r>
    <x v="2"/>
    <x v="16"/>
    <x v="1"/>
    <n v="9.9499999999999993"/>
    <n v="25"/>
    <n v="15.05"/>
    <n v="162"/>
    <n v="4050"/>
  </r>
  <r>
    <x v="2"/>
    <x v="17"/>
    <x v="1"/>
    <n v="9.9499999999999993"/>
    <n v="20"/>
    <n v="10.050000000000001"/>
    <n v="289"/>
    <n v="5780"/>
  </r>
  <r>
    <x v="0"/>
    <x v="0"/>
    <x v="2"/>
    <n v="5.95"/>
    <n v="20"/>
    <n v="14.05"/>
    <n v="67"/>
    <n v="1340"/>
  </r>
  <r>
    <x v="0"/>
    <x v="1"/>
    <x v="2"/>
    <n v="25.25"/>
    <n v="70"/>
    <n v="44.75"/>
    <n v="245"/>
    <n v="17150"/>
  </r>
  <r>
    <x v="0"/>
    <x v="2"/>
    <x v="2"/>
    <n v="7.1"/>
    <n v="30"/>
    <n v="22.9"/>
    <n v="176"/>
    <n v="5280"/>
  </r>
  <r>
    <x v="0"/>
    <x v="3"/>
    <x v="2"/>
    <n v="7.1"/>
    <n v="30"/>
    <n v="22.9"/>
    <n v="181"/>
    <n v="5430"/>
  </r>
  <r>
    <x v="0"/>
    <x v="4"/>
    <x v="2"/>
    <n v="5"/>
    <n v="25"/>
    <n v="20"/>
    <n v="122"/>
    <n v="3050"/>
  </r>
  <r>
    <x v="0"/>
    <x v="5"/>
    <x v="2"/>
    <n v="6.95"/>
    <n v="35"/>
    <n v="28.05"/>
    <n v="275"/>
    <n v="9625"/>
  </r>
  <r>
    <x v="0"/>
    <x v="6"/>
    <x v="2"/>
    <n v="4"/>
    <n v="25"/>
    <n v="21"/>
    <n v="155"/>
    <n v="3875"/>
  </r>
  <r>
    <x v="1"/>
    <x v="7"/>
    <x v="2"/>
    <n v="5"/>
    <n v="20"/>
    <n v="15"/>
    <n v="418"/>
    <n v="8360"/>
  </r>
  <r>
    <x v="1"/>
    <x v="8"/>
    <x v="2"/>
    <n v="7.5"/>
    <n v="25"/>
    <n v="17.5"/>
    <n v="50"/>
    <n v="1250"/>
  </r>
  <r>
    <x v="1"/>
    <x v="9"/>
    <x v="2"/>
    <n v="3.25"/>
    <n v="15"/>
    <n v="11.75"/>
    <n v="111"/>
    <n v="1665"/>
  </r>
  <r>
    <x v="1"/>
    <x v="10"/>
    <x v="2"/>
    <n v="6.95"/>
    <n v="30"/>
    <n v="23.05"/>
    <n v="135"/>
    <n v="4050"/>
  </r>
  <r>
    <x v="1"/>
    <x v="11"/>
    <x v="2"/>
    <n v="4.55"/>
    <n v="20"/>
    <n v="15.45"/>
    <n v="92"/>
    <n v="1840"/>
  </r>
  <r>
    <x v="1"/>
    <x v="12"/>
    <x v="2"/>
    <n v="10"/>
    <n v="40"/>
    <n v="30"/>
    <n v="214"/>
    <n v="8560"/>
  </r>
  <r>
    <x v="1"/>
    <x v="13"/>
    <x v="2"/>
    <n v="1.25"/>
    <n v="10"/>
    <n v="8.75"/>
    <n v="141"/>
    <n v="1410"/>
  </r>
  <r>
    <x v="2"/>
    <x v="14"/>
    <x v="2"/>
    <n v="7.95"/>
    <n v="35"/>
    <n v="27.05"/>
    <n v="162"/>
    <n v="5670"/>
  </r>
  <r>
    <x v="2"/>
    <x v="15"/>
    <x v="2"/>
    <n v="5.95"/>
    <n v="25"/>
    <n v="19.05"/>
    <n v="234"/>
    <n v="5850"/>
  </r>
  <r>
    <x v="2"/>
    <x v="16"/>
    <x v="2"/>
    <n v="9.9499999999999993"/>
    <n v="25"/>
    <n v="15.05"/>
    <n v="185"/>
    <n v="4625"/>
  </r>
  <r>
    <x v="2"/>
    <x v="17"/>
    <x v="2"/>
    <n v="9.9499999999999993"/>
    <n v="20"/>
    <n v="10.050000000000001"/>
    <n v="327"/>
    <n v="65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4302D-DCDC-41D8-A310-17630DAF6013}" name="Qtr1 Sales" cacheId="154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 chartFormat="16">
  <location ref="A3:C7" firstHeaderRow="0" firstDataRow="1" firstDataCol="1"/>
  <pivotFields count="8"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numFmtId="165" outline="0" showAll="0">
      <items count="4">
        <item x="0"/>
        <item x="1"/>
        <item x="2"/>
        <item t="default"/>
      </items>
    </pivotField>
    <pivotField compact="0" numFmtId="44" outline="0" showAll="0"/>
    <pivotField compact="0" numFmtId="164" outline="0" showAll="0"/>
    <pivotField compact="0" numFmtId="44" outline="0" showAll="0"/>
    <pivotField dataField="1" compact="0" outline="0" showAll="0"/>
    <pivotField dataField="1" compact="0" numFmtId="164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Gross Revenue" fld="7" baseField="0" baseItem="0" numFmtId="42"/>
    <dataField name="Total Qty Sold" fld="6" baseField="0" baseItem="0" numFmtId="3"/>
  </dataFields>
  <formats count="2">
    <format dxfId="1">
      <pivotArea outline="0" fieldPosition="0">
        <references count="1">
          <reference field="4294967294" count="1" selected="0">
            <x v="0"/>
          </reference>
        </references>
      </pivotArea>
    </format>
    <format dxfId="2">
      <pivotArea outline="0" fieldPosition="0">
        <references count="1">
          <reference field="4294967294" count="1" selected="0">
            <x v="1"/>
          </reference>
        </references>
      </pivotArea>
    </format>
  </formats>
  <chartFormats count="94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5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4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5" format="42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5" format="43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6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4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9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6" format="50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6" format="5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7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5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5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5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7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7" format="58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7" format="59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9" format="6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7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7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7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73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9" format="74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9" format="75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0" format="7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7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7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8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0" format="82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0" format="83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4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6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15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4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5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5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3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5" format="32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5" format="33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dateBetween" evalOrder="-1" id="10" name="Month">
      <autoFilter ref="A1">
        <filterColumn colId="0">
          <customFilters and="1">
            <customFilter operator="greaterThanOrEqual" val="45352"/>
            <customFilter operator="lessThanOrEqual" val="4538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D29227-3E12-40FF-8325-B28A6D896B68}" name="Sale Prices" cacheId="15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1" firstHeaderRow="1" firstDataRow="1" firstDataCol="1" rowPageCount="1" colPageCount="1"/>
  <pivotFields count="8">
    <pivotField axis="axisPage" compact="0" outline="0" showAll="0">
      <items count="4">
        <item h="1" x="0"/>
        <item h="1" x="2"/>
        <item x="1"/>
        <item t="default"/>
      </items>
    </pivotField>
    <pivotField axis="axisRow" compact="0" outline="0" showAll="0">
      <items count="19">
        <item x="14"/>
        <item x="15"/>
        <item x="7"/>
        <item x="16"/>
        <item x="0"/>
        <item x="1"/>
        <item x="10"/>
        <item x="9"/>
        <item x="13"/>
        <item x="11"/>
        <item x="8"/>
        <item x="17"/>
        <item x="12"/>
        <item x="3"/>
        <item x="5"/>
        <item x="4"/>
        <item x="2"/>
        <item x="6"/>
        <item t="default"/>
      </items>
    </pivotField>
    <pivotField compact="0" numFmtId="165" outline="0" showAll="0"/>
    <pivotField compact="0" numFmtId="44" outline="0" showAll="0"/>
    <pivotField dataField="1" compact="0" numFmtId="164" outline="0" showAll="0"/>
    <pivotField compact="0" numFmtId="44" outline="0" showAll="0"/>
    <pivotField compact="0" outline="0" showAll="0"/>
    <pivotField compact="0" numFmtId="164" outline="0" showAll="0"/>
  </pivotFields>
  <rowFields count="1">
    <field x="1"/>
  </rowFields>
  <rowItems count="8">
    <i>
      <x v="2"/>
    </i>
    <i>
      <x v="6"/>
    </i>
    <i>
      <x v="7"/>
    </i>
    <i>
      <x v="8"/>
    </i>
    <i>
      <x v="9"/>
    </i>
    <i>
      <x v="10"/>
    </i>
    <i>
      <x v="12"/>
    </i>
    <i t="grand">
      <x/>
    </i>
  </rowItems>
  <colItems count="1">
    <i/>
  </colItems>
  <pageFields count="1">
    <pageField fld="0" item="2" hier="-1"/>
  </pageFields>
  <dataFields count="1">
    <dataField name="Item Retail Price" fld="4" baseField="0" baseItem="0" numFmtId="164"/>
  </dataFields>
  <formats count="1">
    <format dxfId="0">
      <pivotArea outline="0" collapsedLevelsAreSubtotals="1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AMES" displayName="NAMES" ref="A1:B5" totalsRowShown="0">
  <autoFilter ref="A1:B5" xr:uid="{00000000-0009-0000-0100-000001000000}"/>
  <tableColumns count="2">
    <tableColumn id="1" xr3:uid="{00000000-0010-0000-0000-000001000000}" name="ID"/>
    <tableColumn id="2" xr3:uid="{00000000-0010-0000-0000-000002000000}" name="Last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OURS" displayName="HOURS" ref="A7:C23" totalsRowShown="0">
  <autoFilter ref="A7:C23" xr:uid="{00000000-0009-0000-0100-000002000000}"/>
  <tableColumns count="3">
    <tableColumn id="1" xr3:uid="{00000000-0010-0000-0100-000001000000}" name="ID"/>
    <tableColumn id="2" xr3:uid="{00000000-0010-0000-0100-000002000000}" name="Week"/>
    <tableColumn id="3" xr3:uid="{00000000-0010-0000-0100-000003000000}" name="H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Month" xr10:uid="{BC6FEAFE-84D4-4866-AD8B-58CF6EE4B96B}" sourceName="Month">
  <pivotTables>
    <pivotTable tabId="4" name="Qtr1 Sales"/>
  </pivotTables>
  <state minimalRefreshVersion="6" lastRefreshVersion="6" pivotCacheId="410166114" filterType="dateBetween">
    <selection startDate="2024-03-01T00:00:00" endDate="2024-03-31T00:00:00"/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Month" xr10:uid="{BC12C38C-D076-48BB-B25D-1CC3BB943312}" cache="NativeTimeline_Month" caption="Month" level="2" selectionLevel="2" scrollPosition="2024-01-01T00:00:00"/>
</timeline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D21" sqref="D21"/>
    </sheetView>
  </sheetViews>
  <sheetFormatPr defaultRowHeight="14.45" outlineLevelRow="2" outlineLevelCol="1"/>
  <cols>
    <col min="2" max="2" width="20.140625" bestFit="1" customWidth="1"/>
    <col min="3" max="3" width="9.140625" style="1"/>
    <col min="4" max="4" width="9.140625" customWidth="1" outlineLevel="1"/>
    <col min="5" max="5" width="9.140625" customWidth="1"/>
  </cols>
  <sheetData>
    <row r="1" spans="1:6">
      <c r="A1" s="12" t="s">
        <v>0</v>
      </c>
      <c r="B1" s="12" t="s">
        <v>1</v>
      </c>
      <c r="C1" s="13" t="s">
        <v>2</v>
      </c>
      <c r="D1" s="14" t="s">
        <v>3</v>
      </c>
      <c r="E1" s="12" t="s">
        <v>4</v>
      </c>
      <c r="F1" s="12" t="s">
        <v>5</v>
      </c>
    </row>
    <row r="2" spans="1:6" hidden="1" outlineLevel="2">
      <c r="A2" s="11" t="s">
        <v>6</v>
      </c>
      <c r="B2" s="11" t="s">
        <v>7</v>
      </c>
      <c r="C2" s="15" t="s">
        <v>8</v>
      </c>
      <c r="D2" s="16">
        <v>50</v>
      </c>
      <c r="E2" s="11">
        <v>27</v>
      </c>
      <c r="F2" s="17">
        <f>D2*E2</f>
        <v>1350</v>
      </c>
    </row>
    <row r="3" spans="1:6" hidden="1" outlineLevel="2">
      <c r="A3" s="11" t="s">
        <v>6</v>
      </c>
      <c r="B3" s="11" t="s">
        <v>9</v>
      </c>
      <c r="C3" s="15" t="s">
        <v>8</v>
      </c>
      <c r="D3" s="16">
        <v>70</v>
      </c>
      <c r="E3" s="11">
        <v>105</v>
      </c>
      <c r="F3" s="17">
        <f>D3*E3</f>
        <v>7350</v>
      </c>
    </row>
    <row r="4" spans="1:6" s="2" customFormat="1" outlineLevel="1" collapsed="1">
      <c r="A4" s="19" t="s">
        <v>10</v>
      </c>
      <c r="B4" s="11"/>
      <c r="C4" s="15"/>
      <c r="D4" s="16"/>
      <c r="E4" s="11">
        <f>SUBTOTAL(9,E2:E3)</f>
        <v>132</v>
      </c>
      <c r="F4" s="17">
        <f>SUBTOTAL(9,F2:F3)</f>
        <v>8700</v>
      </c>
    </row>
    <row r="5" spans="1:6" hidden="1" outlineLevel="2">
      <c r="A5" s="11" t="s">
        <v>11</v>
      </c>
      <c r="B5" s="11" t="s">
        <v>12</v>
      </c>
      <c r="C5" s="15" t="s">
        <v>8</v>
      </c>
      <c r="D5" s="16">
        <v>20</v>
      </c>
      <c r="E5" s="11">
        <v>118</v>
      </c>
      <c r="F5" s="17">
        <f>D5*E5</f>
        <v>2360</v>
      </c>
    </row>
    <row r="6" spans="1:6" hidden="1" outlineLevel="2">
      <c r="A6" s="11" t="s">
        <v>11</v>
      </c>
      <c r="B6" s="11" t="s">
        <v>13</v>
      </c>
      <c r="C6" s="15" t="s">
        <v>8</v>
      </c>
      <c r="D6" s="16">
        <v>30</v>
      </c>
      <c r="E6" s="11">
        <v>142</v>
      </c>
      <c r="F6" s="17">
        <f>D6*E6</f>
        <v>4260</v>
      </c>
    </row>
    <row r="7" spans="1:6" hidden="1" outlineLevel="2">
      <c r="A7" s="11" t="s">
        <v>11</v>
      </c>
      <c r="B7" s="11" t="s">
        <v>14</v>
      </c>
      <c r="C7" s="15" t="s">
        <v>8</v>
      </c>
      <c r="D7" s="16">
        <v>30</v>
      </c>
      <c r="E7" s="11">
        <v>151</v>
      </c>
      <c r="F7" s="17">
        <f>D7*E7</f>
        <v>4530</v>
      </c>
    </row>
    <row r="8" spans="1:6" hidden="1" outlineLevel="2">
      <c r="A8" s="11" t="s">
        <v>11</v>
      </c>
      <c r="B8" s="11" t="s">
        <v>15</v>
      </c>
      <c r="C8" s="15" t="s">
        <v>8</v>
      </c>
      <c r="D8" s="16">
        <v>25</v>
      </c>
      <c r="E8" s="11">
        <v>175</v>
      </c>
      <c r="F8" s="17">
        <f>D8*E8</f>
        <v>4375</v>
      </c>
    </row>
    <row r="9" spans="1:6" s="2" customFormat="1" outlineLevel="1" collapsed="1">
      <c r="A9" s="20" t="s">
        <v>16</v>
      </c>
      <c r="B9" s="11"/>
      <c r="C9" s="15"/>
      <c r="D9" s="16"/>
      <c r="E9" s="11">
        <f>SUBTOTAL(9,E5:E8)</f>
        <v>586</v>
      </c>
      <c r="F9" s="17">
        <f>SUBTOTAL(9,F5:F8)</f>
        <v>15525</v>
      </c>
    </row>
    <row r="10" spans="1:6" hidden="1" outlineLevel="2">
      <c r="A10" s="11" t="s">
        <v>6</v>
      </c>
      <c r="B10" s="11" t="s">
        <v>7</v>
      </c>
      <c r="C10" s="15" t="s">
        <v>17</v>
      </c>
      <c r="D10" s="16">
        <v>50</v>
      </c>
      <c r="E10" s="11">
        <v>36</v>
      </c>
      <c r="F10" s="17">
        <f>D10*E10</f>
        <v>1800</v>
      </c>
    </row>
    <row r="11" spans="1:6" hidden="1" outlineLevel="2">
      <c r="A11" s="11" t="s">
        <v>6</v>
      </c>
      <c r="B11" s="11" t="s">
        <v>9</v>
      </c>
      <c r="C11" s="15" t="s">
        <v>17</v>
      </c>
      <c r="D11" s="16">
        <v>70</v>
      </c>
      <c r="E11" s="11">
        <v>139</v>
      </c>
      <c r="F11" s="17">
        <f>D11*E11</f>
        <v>9730</v>
      </c>
    </row>
    <row r="12" spans="1:6" s="2" customFormat="1" outlineLevel="1" collapsed="1">
      <c r="A12" s="20" t="s">
        <v>10</v>
      </c>
      <c r="B12" s="11"/>
      <c r="C12" s="15"/>
      <c r="D12" s="16"/>
      <c r="E12" s="11">
        <f>SUBTOTAL(9,E10:E11)</f>
        <v>175</v>
      </c>
      <c r="F12" s="17">
        <f>SUBTOTAL(9,F10:F11)</f>
        <v>11530</v>
      </c>
    </row>
    <row r="13" spans="1:6" hidden="1" outlineLevel="2">
      <c r="A13" s="11" t="s">
        <v>11</v>
      </c>
      <c r="B13" s="11" t="s">
        <v>13</v>
      </c>
      <c r="C13" s="15" t="s">
        <v>17</v>
      </c>
      <c r="D13" s="16">
        <v>30</v>
      </c>
      <c r="E13" s="11">
        <v>89</v>
      </c>
      <c r="F13" s="17">
        <f>D13*E13</f>
        <v>2670</v>
      </c>
    </row>
    <row r="14" spans="1:6" hidden="1" outlineLevel="2">
      <c r="A14" s="11" t="s">
        <v>11</v>
      </c>
      <c r="B14" s="11" t="s">
        <v>14</v>
      </c>
      <c r="C14" s="15" t="s">
        <v>17</v>
      </c>
      <c r="D14" s="16">
        <v>30</v>
      </c>
      <c r="E14" s="11">
        <v>96</v>
      </c>
      <c r="F14" s="17">
        <f>D14*E14</f>
        <v>2880</v>
      </c>
    </row>
    <row r="15" spans="1:6" hidden="1" outlineLevel="2">
      <c r="A15" s="11" t="s">
        <v>11</v>
      </c>
      <c r="B15" s="11" t="s">
        <v>15</v>
      </c>
      <c r="C15" s="15" t="s">
        <v>17</v>
      </c>
      <c r="D15" s="16">
        <v>25</v>
      </c>
      <c r="E15" s="11">
        <v>150</v>
      </c>
      <c r="F15" s="17">
        <f>D15*E15</f>
        <v>3750</v>
      </c>
    </row>
    <row r="16" spans="1:6" hidden="1" outlineLevel="2">
      <c r="A16" s="11" t="s">
        <v>11</v>
      </c>
      <c r="B16" s="11" t="s">
        <v>12</v>
      </c>
      <c r="C16" s="15" t="s">
        <v>17</v>
      </c>
      <c r="D16" s="16">
        <v>20</v>
      </c>
      <c r="E16" s="11">
        <v>197</v>
      </c>
      <c r="F16" s="17">
        <f>D16*E16</f>
        <v>3940</v>
      </c>
    </row>
    <row r="17" spans="1:6" s="2" customFormat="1" outlineLevel="1" collapsed="1">
      <c r="A17" s="20" t="s">
        <v>16</v>
      </c>
      <c r="B17" s="11"/>
      <c r="C17" s="15"/>
      <c r="D17" s="16"/>
      <c r="E17" s="11">
        <f>SUBTOTAL(9,E13:E16)</f>
        <v>532</v>
      </c>
      <c r="F17" s="17">
        <f>SUBTOTAL(9,F13:F16)</f>
        <v>13240</v>
      </c>
    </row>
    <row r="18" spans="1:6" s="2" customFormat="1">
      <c r="A18" s="20" t="s">
        <v>18</v>
      </c>
      <c r="B18" s="11"/>
      <c r="C18" s="15"/>
      <c r="D18" s="16"/>
      <c r="E18" s="11">
        <f>SUBTOTAL(9,E2:E16)</f>
        <v>1425</v>
      </c>
      <c r="F18" s="17">
        <f>SUBTOTAL(9,F2:F16)</f>
        <v>48995</v>
      </c>
    </row>
  </sheetData>
  <sortState xmlns:xlrd2="http://schemas.microsoft.com/office/spreadsheetml/2017/richdata2" ref="A2:F13">
    <sortCondition ref="C2:C13"/>
    <sortCondition ref="A2:A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42F64-B99F-48A5-82AA-B91EB733C588}">
  <dimension ref="A1:AM20"/>
  <sheetViews>
    <sheetView workbookViewId="0">
      <selection activeCell="M9" sqref="M9"/>
    </sheetView>
  </sheetViews>
  <sheetFormatPr defaultRowHeight="15"/>
  <cols>
    <col min="1" max="1" width="12" bestFit="1" customWidth="1"/>
    <col min="2" max="2" width="19.140625" bestFit="1" customWidth="1"/>
    <col min="3" max="3" width="13.42578125" bestFit="1" customWidth="1"/>
    <col min="4" max="15" width="7.85546875" bestFit="1" customWidth="1"/>
    <col min="16" max="16" width="8.85546875" bestFit="1" customWidth="1"/>
    <col min="17" max="19" width="7.85546875" bestFit="1" customWidth="1"/>
    <col min="20" max="20" width="13.42578125" bestFit="1" customWidth="1"/>
    <col min="21" max="22" width="3" bestFit="1" customWidth="1"/>
    <col min="23" max="37" width="4.140625" bestFit="1" customWidth="1"/>
    <col min="38" max="38" width="24.140625" bestFit="1" customWidth="1"/>
    <col min="39" max="39" width="18.42578125" bestFit="1" customWidth="1"/>
  </cols>
  <sheetData>
    <row r="1" spans="1:39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3" spans="1:39">
      <c r="A3" s="21" t="s">
        <v>0</v>
      </c>
      <c r="B3" s="2" t="s">
        <v>19</v>
      </c>
      <c r="C3" s="2" t="s">
        <v>20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>
      <c r="A4" s="2" t="s">
        <v>21</v>
      </c>
      <c r="B4" s="22">
        <v>45750</v>
      </c>
      <c r="C4" s="23">
        <v>1221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39">
      <c r="A5" s="2" t="s">
        <v>22</v>
      </c>
      <c r="B5" s="22">
        <v>22685</v>
      </c>
      <c r="C5" s="23">
        <v>908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>
      <c r="A6" s="2" t="s">
        <v>23</v>
      </c>
      <c r="B6" s="22">
        <v>27135</v>
      </c>
      <c r="C6" s="23">
        <v>1161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>
      <c r="A7" s="2" t="s">
        <v>18</v>
      </c>
      <c r="B7" s="22">
        <v>95570</v>
      </c>
      <c r="C7" s="23">
        <v>3290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1:3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8F1E0-64F9-463F-8577-C77608223F12}">
  <dimension ref="A1:C20"/>
  <sheetViews>
    <sheetView workbookViewId="0">
      <selection activeCell="A3" sqref="A3"/>
    </sheetView>
  </sheetViews>
  <sheetFormatPr defaultRowHeight="15"/>
  <cols>
    <col min="1" max="1" width="20.5703125" bestFit="1" customWidth="1"/>
    <col min="2" max="2" width="17.5703125" bestFit="1" customWidth="1"/>
  </cols>
  <sheetData>
    <row r="1" spans="1:3">
      <c r="A1" s="21" t="s">
        <v>0</v>
      </c>
      <c r="B1" s="2" t="s">
        <v>23</v>
      </c>
      <c r="C1" s="2"/>
    </row>
    <row r="3" spans="1:3">
      <c r="A3" s="21" t="s">
        <v>24</v>
      </c>
      <c r="B3" s="2" t="s">
        <v>25</v>
      </c>
      <c r="C3" s="2"/>
    </row>
    <row r="4" spans="1:3">
      <c r="A4" s="2" t="s">
        <v>26</v>
      </c>
      <c r="B4" s="25">
        <v>60</v>
      </c>
      <c r="C4" s="2"/>
    </row>
    <row r="5" spans="1:3">
      <c r="A5" s="2" t="s">
        <v>27</v>
      </c>
      <c r="B5" s="25">
        <v>90</v>
      </c>
      <c r="C5" s="2"/>
    </row>
    <row r="6" spans="1:3">
      <c r="A6" s="2" t="s">
        <v>28</v>
      </c>
      <c r="B6" s="25">
        <v>45</v>
      </c>
      <c r="C6" s="2"/>
    </row>
    <row r="7" spans="1:3">
      <c r="A7" s="2" t="s">
        <v>29</v>
      </c>
      <c r="B7" s="25">
        <v>30</v>
      </c>
      <c r="C7" s="2"/>
    </row>
    <row r="8" spans="1:3">
      <c r="A8" s="2" t="s">
        <v>30</v>
      </c>
      <c r="B8" s="25">
        <v>60</v>
      </c>
      <c r="C8" s="2"/>
    </row>
    <row r="9" spans="1:3">
      <c r="A9" s="2" t="s">
        <v>31</v>
      </c>
      <c r="B9" s="25">
        <v>75</v>
      </c>
      <c r="C9" s="2"/>
    </row>
    <row r="10" spans="1:3">
      <c r="A10" s="2" t="s">
        <v>32</v>
      </c>
      <c r="B10" s="25">
        <v>120</v>
      </c>
      <c r="C10" s="2"/>
    </row>
    <row r="11" spans="1:3">
      <c r="A11" s="2" t="s">
        <v>18</v>
      </c>
      <c r="B11" s="25">
        <v>480</v>
      </c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topLeftCell="A2" zoomScaleNormal="100" workbookViewId="0">
      <selection activeCell="G8" sqref="G8"/>
    </sheetView>
  </sheetViews>
  <sheetFormatPr defaultRowHeight="14.45"/>
  <cols>
    <col min="1" max="1" width="9.7109375" bestFit="1" customWidth="1"/>
    <col min="2" max="2" width="23.7109375" customWidth="1"/>
    <col min="3" max="3" width="15.42578125" customWidth="1"/>
    <col min="8" max="8" width="36.5703125" bestFit="1" customWidth="1"/>
  </cols>
  <sheetData>
    <row r="1" spans="1:8">
      <c r="A1" s="2"/>
      <c r="B1" s="2"/>
      <c r="C1" s="2"/>
      <c r="D1" s="2"/>
      <c r="E1" s="18"/>
      <c r="F1" s="18"/>
      <c r="G1" s="3" t="s">
        <v>33</v>
      </c>
      <c r="H1" s="4"/>
    </row>
    <row r="3" spans="1:8" ht="29.1">
      <c r="A3" s="5" t="s">
        <v>0</v>
      </c>
      <c r="B3" s="5" t="s">
        <v>24</v>
      </c>
      <c r="C3" s="5" t="s">
        <v>34</v>
      </c>
      <c r="D3" s="5" t="s">
        <v>35</v>
      </c>
      <c r="E3" s="5" t="s">
        <v>36</v>
      </c>
      <c r="F3" s="5" t="s">
        <v>37</v>
      </c>
      <c r="G3" s="5" t="s">
        <v>4</v>
      </c>
      <c r="H3" s="5" t="s">
        <v>5</v>
      </c>
    </row>
    <row r="4" spans="1:8" ht="30.75">
      <c r="A4" s="11" t="s">
        <v>21</v>
      </c>
      <c r="B4" s="11" t="s">
        <v>38</v>
      </c>
      <c r="C4" s="6">
        <v>45322</v>
      </c>
      <c r="D4" s="7">
        <v>5.95</v>
      </c>
      <c r="E4" s="16">
        <v>20</v>
      </c>
      <c r="F4" s="8">
        <f>E4-D4</f>
        <v>14.05</v>
      </c>
      <c r="G4" s="11">
        <v>31</v>
      </c>
      <c r="H4" s="24">
        <f>'Sales PivotTable'!B7</f>
        <v>95570</v>
      </c>
    </row>
    <row r="5" spans="1:8">
      <c r="A5" s="11" t="s">
        <v>21</v>
      </c>
      <c r="B5" s="11" t="s">
        <v>6</v>
      </c>
      <c r="C5" s="6">
        <v>45322</v>
      </c>
      <c r="D5" s="7">
        <v>25.25</v>
      </c>
      <c r="E5" s="16">
        <v>70</v>
      </c>
      <c r="F5" s="8">
        <f t="shared" ref="F5:F21" si="0">E5-D5</f>
        <v>44.75</v>
      </c>
      <c r="G5" s="11">
        <v>325</v>
      </c>
      <c r="H5" s="17">
        <f t="shared" ref="H5:H21" si="1">E5*G5</f>
        <v>22750</v>
      </c>
    </row>
    <row r="6" spans="1:8">
      <c r="A6" s="11" t="s">
        <v>21</v>
      </c>
      <c r="B6" s="11" t="s">
        <v>39</v>
      </c>
      <c r="C6" s="6">
        <v>45322</v>
      </c>
      <c r="D6" s="9">
        <v>7.1</v>
      </c>
      <c r="E6" s="16">
        <v>30</v>
      </c>
      <c r="F6" s="8">
        <f t="shared" si="0"/>
        <v>22.9</v>
      </c>
      <c r="G6" s="11">
        <v>247</v>
      </c>
      <c r="H6" s="17">
        <f t="shared" si="1"/>
        <v>7410</v>
      </c>
    </row>
    <row r="7" spans="1:8">
      <c r="A7" s="11" t="s">
        <v>21</v>
      </c>
      <c r="B7" s="11" t="s">
        <v>40</v>
      </c>
      <c r="C7" s="6">
        <v>45322</v>
      </c>
      <c r="D7" s="9">
        <v>7.1</v>
      </c>
      <c r="E7" s="16">
        <v>30</v>
      </c>
      <c r="F7" s="8">
        <f t="shared" si="0"/>
        <v>22.9</v>
      </c>
      <c r="G7" s="11">
        <v>231</v>
      </c>
      <c r="H7" s="17">
        <f t="shared" si="1"/>
        <v>6930</v>
      </c>
    </row>
    <row r="8" spans="1:8">
      <c r="A8" s="11" t="s">
        <v>21</v>
      </c>
      <c r="B8" s="11" t="s">
        <v>41</v>
      </c>
      <c r="C8" s="6">
        <v>45322</v>
      </c>
      <c r="D8" s="9">
        <v>5</v>
      </c>
      <c r="E8" s="16">
        <v>25</v>
      </c>
      <c r="F8" s="8">
        <f t="shared" si="0"/>
        <v>20</v>
      </c>
      <c r="G8" s="11">
        <v>325</v>
      </c>
      <c r="H8" s="17">
        <f t="shared" si="1"/>
        <v>8125</v>
      </c>
    </row>
    <row r="9" spans="1:8">
      <c r="A9" s="11" t="s">
        <v>21</v>
      </c>
      <c r="B9" s="11" t="s">
        <v>42</v>
      </c>
      <c r="C9" s="6">
        <v>45322</v>
      </c>
      <c r="D9" s="9">
        <v>6.95</v>
      </c>
      <c r="E9" s="16">
        <v>35</v>
      </c>
      <c r="F9" s="8">
        <f t="shared" si="0"/>
        <v>28.05</v>
      </c>
      <c r="G9" s="11">
        <v>315</v>
      </c>
      <c r="H9" s="17">
        <f t="shared" si="1"/>
        <v>11025</v>
      </c>
    </row>
    <row r="10" spans="1:8">
      <c r="A10" s="11" t="s">
        <v>21</v>
      </c>
      <c r="B10" s="11" t="s">
        <v>43</v>
      </c>
      <c r="C10" s="6">
        <v>45322</v>
      </c>
      <c r="D10" s="9">
        <v>4</v>
      </c>
      <c r="E10" s="16">
        <v>25</v>
      </c>
      <c r="F10" s="8">
        <f t="shared" si="0"/>
        <v>21</v>
      </c>
      <c r="G10" s="11">
        <v>244</v>
      </c>
      <c r="H10" s="17">
        <f t="shared" si="1"/>
        <v>6100</v>
      </c>
    </row>
    <row r="11" spans="1:8">
      <c r="A11" s="11" t="s">
        <v>23</v>
      </c>
      <c r="B11" s="11" t="s">
        <v>26</v>
      </c>
      <c r="C11" s="6">
        <v>45322</v>
      </c>
      <c r="D11" s="7">
        <v>5</v>
      </c>
      <c r="E11" s="16">
        <v>20</v>
      </c>
      <c r="F11" s="8">
        <f t="shared" si="0"/>
        <v>15</v>
      </c>
      <c r="G11" s="11">
        <v>541</v>
      </c>
      <c r="H11" s="17">
        <f t="shared" si="1"/>
        <v>10820</v>
      </c>
    </row>
    <row r="12" spans="1:8">
      <c r="A12" s="11" t="s">
        <v>23</v>
      </c>
      <c r="B12" s="11" t="s">
        <v>31</v>
      </c>
      <c r="C12" s="6">
        <v>45322</v>
      </c>
      <c r="D12" s="7">
        <v>7.5</v>
      </c>
      <c r="E12" s="16">
        <v>25</v>
      </c>
      <c r="F12" s="8">
        <f t="shared" si="0"/>
        <v>17.5</v>
      </c>
      <c r="G12" s="11">
        <v>84</v>
      </c>
      <c r="H12" s="17">
        <f t="shared" si="1"/>
        <v>2100</v>
      </c>
    </row>
    <row r="13" spans="1:8">
      <c r="A13" s="11" t="s">
        <v>23</v>
      </c>
      <c r="B13" s="11" t="s">
        <v>28</v>
      </c>
      <c r="C13" s="6">
        <v>45322</v>
      </c>
      <c r="D13" s="7">
        <v>3.25</v>
      </c>
      <c r="E13" s="16">
        <v>15</v>
      </c>
      <c r="F13" s="8">
        <f t="shared" si="0"/>
        <v>11.75</v>
      </c>
      <c r="G13" s="11">
        <v>99</v>
      </c>
      <c r="H13" s="17">
        <f t="shared" si="1"/>
        <v>1485</v>
      </c>
    </row>
    <row r="14" spans="1:8">
      <c r="A14" s="11" t="s">
        <v>23</v>
      </c>
      <c r="B14" s="11" t="s">
        <v>27</v>
      </c>
      <c r="C14" s="6">
        <v>45322</v>
      </c>
      <c r="D14" s="7">
        <v>6.95</v>
      </c>
      <c r="E14" s="16">
        <v>30</v>
      </c>
      <c r="F14" s="8">
        <f t="shared" si="0"/>
        <v>23.05</v>
      </c>
      <c r="G14" s="11">
        <v>132</v>
      </c>
      <c r="H14" s="17">
        <f t="shared" si="1"/>
        <v>3960</v>
      </c>
    </row>
    <row r="15" spans="1:8">
      <c r="A15" s="11" t="s">
        <v>23</v>
      </c>
      <c r="B15" s="11" t="s">
        <v>30</v>
      </c>
      <c r="C15" s="6">
        <v>45322</v>
      </c>
      <c r="D15" s="7">
        <v>4.55</v>
      </c>
      <c r="E15" s="16">
        <v>20</v>
      </c>
      <c r="F15" s="8">
        <f t="shared" si="0"/>
        <v>15.45</v>
      </c>
      <c r="G15" s="11">
        <v>74</v>
      </c>
      <c r="H15" s="17">
        <f t="shared" si="1"/>
        <v>1480</v>
      </c>
    </row>
    <row r="16" spans="1:8">
      <c r="A16" s="11" t="s">
        <v>23</v>
      </c>
      <c r="B16" s="11" t="s">
        <v>32</v>
      </c>
      <c r="C16" s="6">
        <v>45322</v>
      </c>
      <c r="D16" s="7">
        <v>10</v>
      </c>
      <c r="E16" s="16">
        <v>40</v>
      </c>
      <c r="F16" s="8">
        <f t="shared" si="0"/>
        <v>30</v>
      </c>
      <c r="G16" s="11">
        <v>182</v>
      </c>
      <c r="H16" s="17">
        <f t="shared" si="1"/>
        <v>7280</v>
      </c>
    </row>
    <row r="17" spans="1:8">
      <c r="A17" s="11" t="s">
        <v>23</v>
      </c>
      <c r="B17" s="11" t="s">
        <v>29</v>
      </c>
      <c r="C17" s="6">
        <v>45322</v>
      </c>
      <c r="D17" s="7">
        <v>1.25</v>
      </c>
      <c r="E17" s="16">
        <v>10</v>
      </c>
      <c r="F17" s="8">
        <f t="shared" si="0"/>
        <v>8.75</v>
      </c>
      <c r="G17" s="11">
        <v>201</v>
      </c>
      <c r="H17" s="17">
        <f t="shared" si="1"/>
        <v>2010</v>
      </c>
    </row>
    <row r="18" spans="1:8">
      <c r="A18" s="11" t="s">
        <v>22</v>
      </c>
      <c r="B18" s="11" t="s">
        <v>44</v>
      </c>
      <c r="C18" s="6">
        <v>45322</v>
      </c>
      <c r="D18" s="7">
        <v>7.95</v>
      </c>
      <c r="E18" s="16">
        <v>35</v>
      </c>
      <c r="F18" s="8">
        <f t="shared" si="0"/>
        <v>27.05</v>
      </c>
      <c r="G18" s="11">
        <v>93</v>
      </c>
      <c r="H18" s="17">
        <f t="shared" si="1"/>
        <v>3255</v>
      </c>
    </row>
    <row r="19" spans="1:8">
      <c r="A19" s="11" t="s">
        <v>22</v>
      </c>
      <c r="B19" s="11" t="s">
        <v>45</v>
      </c>
      <c r="C19" s="6">
        <v>45322</v>
      </c>
      <c r="D19" s="7">
        <v>5.95</v>
      </c>
      <c r="E19" s="16">
        <v>25</v>
      </c>
      <c r="F19" s="8">
        <f t="shared" si="0"/>
        <v>19.05</v>
      </c>
      <c r="G19" s="11">
        <v>174</v>
      </c>
      <c r="H19" s="17">
        <f t="shared" si="1"/>
        <v>4350</v>
      </c>
    </row>
    <row r="20" spans="1:8">
      <c r="A20" s="11" t="s">
        <v>22</v>
      </c>
      <c r="B20" s="11" t="s">
        <v>46</v>
      </c>
      <c r="C20" s="6">
        <v>45322</v>
      </c>
      <c r="D20" s="7">
        <v>9.9499999999999993</v>
      </c>
      <c r="E20" s="16">
        <v>25</v>
      </c>
      <c r="F20" s="8">
        <f t="shared" si="0"/>
        <v>15.05</v>
      </c>
      <c r="G20" s="11">
        <v>191</v>
      </c>
      <c r="H20" s="17">
        <f t="shared" si="1"/>
        <v>4775</v>
      </c>
    </row>
    <row r="21" spans="1:8">
      <c r="A21" s="11" t="s">
        <v>22</v>
      </c>
      <c r="B21" s="11" t="s">
        <v>47</v>
      </c>
      <c r="C21" s="6">
        <v>45322</v>
      </c>
      <c r="D21" s="7">
        <v>9.9499999999999993</v>
      </c>
      <c r="E21" s="16">
        <v>20</v>
      </c>
      <c r="F21" s="8">
        <f t="shared" si="0"/>
        <v>10.050000000000001</v>
      </c>
      <c r="G21" s="11">
        <v>307</v>
      </c>
      <c r="H21" s="17">
        <f t="shared" si="1"/>
        <v>6140</v>
      </c>
    </row>
    <row r="22" spans="1:8">
      <c r="A22" s="11" t="s">
        <v>21</v>
      </c>
      <c r="B22" s="11" t="s">
        <v>38</v>
      </c>
      <c r="C22" s="6">
        <v>45351</v>
      </c>
      <c r="D22" s="7">
        <v>5.95</v>
      </c>
      <c r="E22" s="16">
        <v>20</v>
      </c>
      <c r="F22" s="8">
        <f>E22-D22</f>
        <v>14.05</v>
      </c>
      <c r="G22" s="11">
        <v>48</v>
      </c>
      <c r="H22" s="17">
        <f>E22*G22</f>
        <v>960</v>
      </c>
    </row>
    <row r="23" spans="1:8">
      <c r="A23" s="11" t="s">
        <v>21</v>
      </c>
      <c r="B23" s="11" t="s">
        <v>6</v>
      </c>
      <c r="C23" s="6">
        <v>45351</v>
      </c>
      <c r="D23" s="7">
        <v>25.25</v>
      </c>
      <c r="E23" s="16">
        <v>70</v>
      </c>
      <c r="F23" s="8">
        <f t="shared" ref="F23:F39" si="2">E23-D23</f>
        <v>44.75</v>
      </c>
      <c r="G23" s="11">
        <v>294</v>
      </c>
      <c r="H23" s="17">
        <f t="shared" ref="H23:H39" si="3">E23*G23</f>
        <v>20580</v>
      </c>
    </row>
    <row r="24" spans="1:8">
      <c r="A24" s="11" t="s">
        <v>21</v>
      </c>
      <c r="B24" s="11" t="s">
        <v>39</v>
      </c>
      <c r="C24" s="6">
        <v>45351</v>
      </c>
      <c r="D24" s="9">
        <v>7.1</v>
      </c>
      <c r="E24" s="16">
        <v>30</v>
      </c>
      <c r="F24" s="8">
        <f t="shared" si="2"/>
        <v>22.9</v>
      </c>
      <c r="G24" s="11">
        <v>186</v>
      </c>
      <c r="H24" s="17">
        <f t="shared" si="3"/>
        <v>5580</v>
      </c>
    </row>
    <row r="25" spans="1:8">
      <c r="A25" s="11" t="s">
        <v>21</v>
      </c>
      <c r="B25" s="11" t="s">
        <v>40</v>
      </c>
      <c r="C25" s="6">
        <v>45351</v>
      </c>
      <c r="D25" s="9">
        <v>7.1</v>
      </c>
      <c r="E25" s="16">
        <v>30</v>
      </c>
      <c r="F25" s="8">
        <f t="shared" si="2"/>
        <v>22.9</v>
      </c>
      <c r="G25" s="11">
        <v>160</v>
      </c>
      <c r="H25" s="17">
        <f t="shared" si="3"/>
        <v>4800</v>
      </c>
    </row>
    <row r="26" spans="1:8">
      <c r="A26" s="11" t="s">
        <v>21</v>
      </c>
      <c r="B26" s="11" t="s">
        <v>41</v>
      </c>
      <c r="C26" s="6">
        <v>45351</v>
      </c>
      <c r="D26" s="9">
        <v>5</v>
      </c>
      <c r="E26" s="16">
        <v>25</v>
      </c>
      <c r="F26" s="8">
        <f t="shared" si="2"/>
        <v>20</v>
      </c>
      <c r="G26" s="11">
        <v>109</v>
      </c>
      <c r="H26" s="17">
        <f t="shared" si="3"/>
        <v>2725</v>
      </c>
    </row>
    <row r="27" spans="1:8">
      <c r="A27" s="11" t="s">
        <v>21</v>
      </c>
      <c r="B27" s="11" t="s">
        <v>42</v>
      </c>
      <c r="C27" s="6">
        <v>45351</v>
      </c>
      <c r="D27" s="9">
        <v>6.95</v>
      </c>
      <c r="E27" s="16">
        <v>35</v>
      </c>
      <c r="F27" s="8">
        <f t="shared" si="2"/>
        <v>28.05</v>
      </c>
      <c r="G27" s="11">
        <v>264</v>
      </c>
      <c r="H27" s="17">
        <f t="shared" si="3"/>
        <v>9240</v>
      </c>
    </row>
    <row r="28" spans="1:8">
      <c r="A28" s="11" t="s">
        <v>21</v>
      </c>
      <c r="B28" s="11" t="s">
        <v>43</v>
      </c>
      <c r="C28" s="6">
        <v>45351</v>
      </c>
      <c r="D28" s="9">
        <v>4</v>
      </c>
      <c r="E28" s="16">
        <v>25</v>
      </c>
      <c r="F28" s="8">
        <f t="shared" si="2"/>
        <v>21</v>
      </c>
      <c r="G28" s="11">
        <v>133</v>
      </c>
      <c r="H28" s="17">
        <f t="shared" si="3"/>
        <v>3325</v>
      </c>
    </row>
    <row r="29" spans="1:8">
      <c r="A29" s="11" t="s">
        <v>23</v>
      </c>
      <c r="B29" s="11" t="s">
        <v>26</v>
      </c>
      <c r="C29" s="6">
        <v>45351</v>
      </c>
      <c r="D29" s="7">
        <v>5</v>
      </c>
      <c r="E29" s="16">
        <v>20</v>
      </c>
      <c r="F29" s="8">
        <f t="shared" si="2"/>
        <v>15</v>
      </c>
      <c r="G29" s="11">
        <v>458</v>
      </c>
      <c r="H29" s="17">
        <f t="shared" si="3"/>
        <v>9160</v>
      </c>
    </row>
    <row r="30" spans="1:8">
      <c r="A30" s="11" t="s">
        <v>23</v>
      </c>
      <c r="B30" s="11" t="s">
        <v>31</v>
      </c>
      <c r="C30" s="6">
        <v>45351</v>
      </c>
      <c r="D30" s="7">
        <v>7.5</v>
      </c>
      <c r="E30" s="16">
        <v>25</v>
      </c>
      <c r="F30" s="8">
        <f t="shared" si="2"/>
        <v>17.5</v>
      </c>
      <c r="G30" s="11">
        <v>63</v>
      </c>
      <c r="H30" s="17">
        <f t="shared" si="3"/>
        <v>1575</v>
      </c>
    </row>
    <row r="31" spans="1:8">
      <c r="A31" s="11" t="s">
        <v>23</v>
      </c>
      <c r="B31" s="11" t="s">
        <v>28</v>
      </c>
      <c r="C31" s="6">
        <v>45351</v>
      </c>
      <c r="D31" s="7">
        <v>3.25</v>
      </c>
      <c r="E31" s="16">
        <v>15</v>
      </c>
      <c r="F31" s="8">
        <f t="shared" si="2"/>
        <v>11.75</v>
      </c>
      <c r="G31" s="11">
        <v>101</v>
      </c>
      <c r="H31" s="17">
        <f t="shared" si="3"/>
        <v>1515</v>
      </c>
    </row>
    <row r="32" spans="1:8">
      <c r="A32" s="11" t="s">
        <v>23</v>
      </c>
      <c r="B32" s="11" t="s">
        <v>27</v>
      </c>
      <c r="C32" s="6">
        <v>45351</v>
      </c>
      <c r="D32" s="7">
        <v>6.95</v>
      </c>
      <c r="E32" s="16">
        <v>30</v>
      </c>
      <c r="F32" s="8">
        <f t="shared" si="2"/>
        <v>23.05</v>
      </c>
      <c r="G32" s="11">
        <v>128</v>
      </c>
      <c r="H32" s="17">
        <f t="shared" si="3"/>
        <v>3840</v>
      </c>
    </row>
    <row r="33" spans="1:8">
      <c r="A33" s="11" t="s">
        <v>23</v>
      </c>
      <c r="B33" s="11" t="s">
        <v>30</v>
      </c>
      <c r="C33" s="6">
        <v>45351</v>
      </c>
      <c r="D33" s="7">
        <v>4.55</v>
      </c>
      <c r="E33" s="16">
        <v>20</v>
      </c>
      <c r="F33" s="8">
        <f t="shared" si="2"/>
        <v>15.45</v>
      </c>
      <c r="G33" s="11">
        <v>86</v>
      </c>
      <c r="H33" s="17">
        <f t="shared" si="3"/>
        <v>1720</v>
      </c>
    </row>
    <row r="34" spans="1:8">
      <c r="A34" s="11" t="s">
        <v>23</v>
      </c>
      <c r="B34" s="11" t="s">
        <v>32</v>
      </c>
      <c r="C34" s="6">
        <v>45351</v>
      </c>
      <c r="D34" s="7">
        <v>10</v>
      </c>
      <c r="E34" s="16">
        <v>40</v>
      </c>
      <c r="F34" s="8">
        <f t="shared" si="2"/>
        <v>30</v>
      </c>
      <c r="G34" s="11">
        <v>175</v>
      </c>
      <c r="H34" s="17">
        <f t="shared" si="3"/>
        <v>7000</v>
      </c>
    </row>
    <row r="35" spans="1:8">
      <c r="A35" s="11" t="s">
        <v>23</v>
      </c>
      <c r="B35" s="11" t="s">
        <v>29</v>
      </c>
      <c r="C35" s="6">
        <v>45351</v>
      </c>
      <c r="D35" s="7">
        <v>1.25</v>
      </c>
      <c r="E35" s="16">
        <v>10</v>
      </c>
      <c r="F35" s="8">
        <f t="shared" si="2"/>
        <v>8.75</v>
      </c>
      <c r="G35" s="11">
        <v>115</v>
      </c>
      <c r="H35" s="17">
        <f t="shared" si="3"/>
        <v>1150</v>
      </c>
    </row>
    <row r="36" spans="1:8">
      <c r="A36" s="11" t="s">
        <v>22</v>
      </c>
      <c r="B36" s="11" t="s">
        <v>44</v>
      </c>
      <c r="C36" s="6">
        <v>45351</v>
      </c>
      <c r="D36" s="7">
        <v>7.95</v>
      </c>
      <c r="E36" s="16">
        <v>35</v>
      </c>
      <c r="F36" s="8">
        <f t="shared" si="2"/>
        <v>27.05</v>
      </c>
      <c r="G36" s="11">
        <v>102</v>
      </c>
      <c r="H36" s="17">
        <f t="shared" si="3"/>
        <v>3570</v>
      </c>
    </row>
    <row r="37" spans="1:8">
      <c r="A37" s="11" t="s">
        <v>22</v>
      </c>
      <c r="B37" s="11" t="s">
        <v>45</v>
      </c>
      <c r="C37" s="6">
        <v>45351</v>
      </c>
      <c r="D37" s="7">
        <v>5.95</v>
      </c>
      <c r="E37" s="16">
        <v>25</v>
      </c>
      <c r="F37" s="8">
        <f t="shared" si="2"/>
        <v>19.05</v>
      </c>
      <c r="G37" s="11">
        <v>204</v>
      </c>
      <c r="H37" s="17">
        <f t="shared" si="3"/>
        <v>5100</v>
      </c>
    </row>
    <row r="38" spans="1:8">
      <c r="A38" s="11" t="s">
        <v>22</v>
      </c>
      <c r="B38" s="11" t="s">
        <v>46</v>
      </c>
      <c r="C38" s="6">
        <v>45351</v>
      </c>
      <c r="D38" s="7">
        <v>9.9499999999999993</v>
      </c>
      <c r="E38" s="16">
        <v>25</v>
      </c>
      <c r="F38" s="8">
        <f t="shared" si="2"/>
        <v>15.05</v>
      </c>
      <c r="G38" s="11">
        <v>162</v>
      </c>
      <c r="H38" s="17">
        <f t="shared" si="3"/>
        <v>4050</v>
      </c>
    </row>
    <row r="39" spans="1:8">
      <c r="A39" s="11" t="s">
        <v>22</v>
      </c>
      <c r="B39" s="11" t="s">
        <v>47</v>
      </c>
      <c r="C39" s="6">
        <v>45351</v>
      </c>
      <c r="D39" s="7">
        <v>9.9499999999999993</v>
      </c>
      <c r="E39" s="16">
        <v>20</v>
      </c>
      <c r="F39" s="8">
        <f t="shared" si="2"/>
        <v>10.050000000000001</v>
      </c>
      <c r="G39" s="11">
        <v>289</v>
      </c>
      <c r="H39" s="17">
        <f t="shared" si="3"/>
        <v>5780</v>
      </c>
    </row>
    <row r="40" spans="1:8">
      <c r="A40" s="11" t="s">
        <v>21</v>
      </c>
      <c r="B40" s="11" t="s">
        <v>38</v>
      </c>
      <c r="C40" s="6">
        <v>45382</v>
      </c>
      <c r="D40" s="7">
        <v>5.95</v>
      </c>
      <c r="E40" s="16">
        <v>20</v>
      </c>
      <c r="F40" s="8">
        <f>E40-D40</f>
        <v>14.05</v>
      </c>
      <c r="G40" s="11">
        <v>67</v>
      </c>
      <c r="H40" s="17">
        <f>E40*G40</f>
        <v>1340</v>
      </c>
    </row>
    <row r="41" spans="1:8">
      <c r="A41" s="11" t="s">
        <v>21</v>
      </c>
      <c r="B41" s="11" t="s">
        <v>6</v>
      </c>
      <c r="C41" s="6">
        <v>45382</v>
      </c>
      <c r="D41" s="7">
        <v>25.25</v>
      </c>
      <c r="E41" s="16">
        <v>70</v>
      </c>
      <c r="F41" s="8">
        <f t="shared" ref="F41:F57" si="4">E41-D41</f>
        <v>44.75</v>
      </c>
      <c r="G41" s="11">
        <v>245</v>
      </c>
      <c r="H41" s="17">
        <f t="shared" ref="H41:H57" si="5">E41*G41</f>
        <v>17150</v>
      </c>
    </row>
    <row r="42" spans="1:8">
      <c r="A42" s="11" t="s">
        <v>21</v>
      </c>
      <c r="B42" s="11" t="s">
        <v>39</v>
      </c>
      <c r="C42" s="6">
        <v>45382</v>
      </c>
      <c r="D42" s="9">
        <v>7.1</v>
      </c>
      <c r="E42" s="16">
        <v>30</v>
      </c>
      <c r="F42" s="8">
        <f t="shared" si="4"/>
        <v>22.9</v>
      </c>
      <c r="G42" s="11">
        <v>176</v>
      </c>
      <c r="H42" s="17">
        <f t="shared" si="5"/>
        <v>5280</v>
      </c>
    </row>
    <row r="43" spans="1:8">
      <c r="A43" s="11" t="s">
        <v>21</v>
      </c>
      <c r="B43" s="11" t="s">
        <v>40</v>
      </c>
      <c r="C43" s="6">
        <v>45382</v>
      </c>
      <c r="D43" s="9">
        <v>7.1</v>
      </c>
      <c r="E43" s="16">
        <v>30</v>
      </c>
      <c r="F43" s="8">
        <f t="shared" si="4"/>
        <v>22.9</v>
      </c>
      <c r="G43" s="11">
        <v>181</v>
      </c>
      <c r="H43" s="17">
        <f t="shared" si="5"/>
        <v>5430</v>
      </c>
    </row>
    <row r="44" spans="1:8">
      <c r="A44" s="11" t="s">
        <v>21</v>
      </c>
      <c r="B44" s="11" t="s">
        <v>41</v>
      </c>
      <c r="C44" s="6">
        <v>45382</v>
      </c>
      <c r="D44" s="9">
        <v>5</v>
      </c>
      <c r="E44" s="16">
        <v>25</v>
      </c>
      <c r="F44" s="8">
        <f t="shared" si="4"/>
        <v>20</v>
      </c>
      <c r="G44" s="11">
        <v>122</v>
      </c>
      <c r="H44" s="17">
        <f t="shared" si="5"/>
        <v>3050</v>
      </c>
    </row>
    <row r="45" spans="1:8">
      <c r="A45" s="11" t="s">
        <v>21</v>
      </c>
      <c r="B45" s="11" t="s">
        <v>42</v>
      </c>
      <c r="C45" s="6">
        <v>45382</v>
      </c>
      <c r="D45" s="9">
        <v>6.95</v>
      </c>
      <c r="E45" s="16">
        <v>35</v>
      </c>
      <c r="F45" s="8">
        <f t="shared" si="4"/>
        <v>28.05</v>
      </c>
      <c r="G45" s="11">
        <v>275</v>
      </c>
      <c r="H45" s="17">
        <f t="shared" si="5"/>
        <v>9625</v>
      </c>
    </row>
    <row r="46" spans="1:8">
      <c r="A46" s="11" t="s">
        <v>21</v>
      </c>
      <c r="B46" s="11" t="s">
        <v>43</v>
      </c>
      <c r="C46" s="6">
        <v>45382</v>
      </c>
      <c r="D46" s="9">
        <v>4</v>
      </c>
      <c r="E46" s="16">
        <v>25</v>
      </c>
      <c r="F46" s="8">
        <f t="shared" si="4"/>
        <v>21</v>
      </c>
      <c r="G46" s="11">
        <v>155</v>
      </c>
      <c r="H46" s="17">
        <f t="shared" si="5"/>
        <v>3875</v>
      </c>
    </row>
    <row r="47" spans="1:8">
      <c r="A47" s="11" t="s">
        <v>23</v>
      </c>
      <c r="B47" s="11" t="s">
        <v>26</v>
      </c>
      <c r="C47" s="6">
        <v>45382</v>
      </c>
      <c r="D47" s="7">
        <v>5</v>
      </c>
      <c r="E47" s="16">
        <v>20</v>
      </c>
      <c r="F47" s="8">
        <f t="shared" si="4"/>
        <v>15</v>
      </c>
      <c r="G47" s="11">
        <v>418</v>
      </c>
      <c r="H47" s="17">
        <f t="shared" si="5"/>
        <v>8360</v>
      </c>
    </row>
    <row r="48" spans="1:8">
      <c r="A48" s="11" t="s">
        <v>23</v>
      </c>
      <c r="B48" s="11" t="s">
        <v>31</v>
      </c>
      <c r="C48" s="6">
        <v>45382</v>
      </c>
      <c r="D48" s="7">
        <v>7.5</v>
      </c>
      <c r="E48" s="16">
        <v>25</v>
      </c>
      <c r="F48" s="8">
        <f t="shared" si="4"/>
        <v>17.5</v>
      </c>
      <c r="G48" s="11">
        <v>50</v>
      </c>
      <c r="H48" s="17">
        <f t="shared" si="5"/>
        <v>1250</v>
      </c>
    </row>
    <row r="49" spans="1:8">
      <c r="A49" s="11" t="s">
        <v>23</v>
      </c>
      <c r="B49" s="11" t="s">
        <v>28</v>
      </c>
      <c r="C49" s="6">
        <v>45382</v>
      </c>
      <c r="D49" s="7">
        <v>3.25</v>
      </c>
      <c r="E49" s="16">
        <v>15</v>
      </c>
      <c r="F49" s="8">
        <f t="shared" si="4"/>
        <v>11.75</v>
      </c>
      <c r="G49" s="11">
        <v>111</v>
      </c>
      <c r="H49" s="17">
        <f t="shared" si="5"/>
        <v>1665</v>
      </c>
    </row>
    <row r="50" spans="1:8">
      <c r="A50" s="11" t="s">
        <v>23</v>
      </c>
      <c r="B50" s="11" t="s">
        <v>27</v>
      </c>
      <c r="C50" s="6">
        <v>45382</v>
      </c>
      <c r="D50" s="7">
        <v>6.95</v>
      </c>
      <c r="E50" s="16">
        <v>30</v>
      </c>
      <c r="F50" s="8">
        <f t="shared" si="4"/>
        <v>23.05</v>
      </c>
      <c r="G50" s="11">
        <v>135</v>
      </c>
      <c r="H50" s="17">
        <f t="shared" si="5"/>
        <v>4050</v>
      </c>
    </row>
    <row r="51" spans="1:8">
      <c r="A51" s="11" t="s">
        <v>23</v>
      </c>
      <c r="B51" s="11" t="s">
        <v>30</v>
      </c>
      <c r="C51" s="6">
        <v>45382</v>
      </c>
      <c r="D51" s="7">
        <v>4.55</v>
      </c>
      <c r="E51" s="16">
        <v>20</v>
      </c>
      <c r="F51" s="8">
        <f t="shared" si="4"/>
        <v>15.45</v>
      </c>
      <c r="G51" s="11">
        <v>92</v>
      </c>
      <c r="H51" s="17">
        <f t="shared" si="5"/>
        <v>1840</v>
      </c>
    </row>
    <row r="52" spans="1:8">
      <c r="A52" s="11" t="s">
        <v>23</v>
      </c>
      <c r="B52" s="11" t="s">
        <v>32</v>
      </c>
      <c r="C52" s="6">
        <v>45382</v>
      </c>
      <c r="D52" s="7">
        <v>10</v>
      </c>
      <c r="E52" s="16">
        <v>40</v>
      </c>
      <c r="F52" s="8">
        <f t="shared" si="4"/>
        <v>30</v>
      </c>
      <c r="G52" s="11">
        <v>214</v>
      </c>
      <c r="H52" s="17">
        <f t="shared" si="5"/>
        <v>8560</v>
      </c>
    </row>
    <row r="53" spans="1:8">
      <c r="A53" s="11" t="s">
        <v>23</v>
      </c>
      <c r="B53" s="11" t="s">
        <v>29</v>
      </c>
      <c r="C53" s="6">
        <v>45382</v>
      </c>
      <c r="D53" s="7">
        <v>1.25</v>
      </c>
      <c r="E53" s="16">
        <v>10</v>
      </c>
      <c r="F53" s="8">
        <f t="shared" si="4"/>
        <v>8.75</v>
      </c>
      <c r="G53" s="11">
        <v>141</v>
      </c>
      <c r="H53" s="17">
        <f t="shared" si="5"/>
        <v>1410</v>
      </c>
    </row>
    <row r="54" spans="1:8">
      <c r="A54" s="11" t="s">
        <v>22</v>
      </c>
      <c r="B54" s="11" t="s">
        <v>44</v>
      </c>
      <c r="C54" s="6">
        <v>45382</v>
      </c>
      <c r="D54" s="7">
        <v>7.95</v>
      </c>
      <c r="E54" s="16">
        <v>35</v>
      </c>
      <c r="F54" s="8">
        <f t="shared" si="4"/>
        <v>27.05</v>
      </c>
      <c r="G54" s="11">
        <v>162</v>
      </c>
      <c r="H54" s="17">
        <f t="shared" si="5"/>
        <v>5670</v>
      </c>
    </row>
    <row r="55" spans="1:8">
      <c r="A55" s="11" t="s">
        <v>22</v>
      </c>
      <c r="B55" s="11" t="s">
        <v>45</v>
      </c>
      <c r="C55" s="6">
        <v>45382</v>
      </c>
      <c r="D55" s="7">
        <v>5.95</v>
      </c>
      <c r="E55" s="16">
        <v>25</v>
      </c>
      <c r="F55" s="8">
        <f t="shared" si="4"/>
        <v>19.05</v>
      </c>
      <c r="G55" s="11">
        <v>234</v>
      </c>
      <c r="H55" s="17">
        <f t="shared" si="5"/>
        <v>5850</v>
      </c>
    </row>
    <row r="56" spans="1:8">
      <c r="A56" s="11" t="s">
        <v>22</v>
      </c>
      <c r="B56" s="11" t="s">
        <v>46</v>
      </c>
      <c r="C56" s="6">
        <v>45382</v>
      </c>
      <c r="D56" s="7">
        <v>9.9499999999999993</v>
      </c>
      <c r="E56" s="16">
        <v>25</v>
      </c>
      <c r="F56" s="8">
        <f t="shared" si="4"/>
        <v>15.05</v>
      </c>
      <c r="G56" s="11">
        <v>185</v>
      </c>
      <c r="H56" s="17">
        <f t="shared" si="5"/>
        <v>4625</v>
      </c>
    </row>
    <row r="57" spans="1:8">
      <c r="A57" s="11" t="s">
        <v>22</v>
      </c>
      <c r="B57" s="11" t="s">
        <v>47</v>
      </c>
      <c r="C57" s="6">
        <v>45382</v>
      </c>
      <c r="D57" s="7">
        <v>9.9499999999999993</v>
      </c>
      <c r="E57" s="16">
        <v>20</v>
      </c>
      <c r="F57" s="8">
        <f t="shared" si="4"/>
        <v>10.050000000000001</v>
      </c>
      <c r="G57" s="11">
        <v>327</v>
      </c>
      <c r="H57" s="17">
        <f t="shared" si="5"/>
        <v>6540</v>
      </c>
    </row>
  </sheetData>
  <printOptions horizontalCentered="1"/>
  <pageMargins left="0.7" right="0.7" top="1" bottom="0.75" header="0.3" footer="0.3"/>
  <pageSetup orientation="landscape" r:id="rId1"/>
  <headerFooter>
    <oddHeader>&amp;LStudent Name&amp;C&amp;A&amp;R&amp;F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tabSelected="1" workbookViewId="0">
      <selection activeCell="A9" sqref="A9"/>
    </sheetView>
  </sheetViews>
  <sheetFormatPr defaultRowHeight="14.45"/>
  <cols>
    <col min="1" max="1" width="5.140625" bestFit="1" customWidth="1"/>
    <col min="2" max="2" width="12" bestFit="1" customWidth="1"/>
    <col min="3" max="3" width="8" customWidth="1"/>
  </cols>
  <sheetData>
    <row r="1" spans="1:3">
      <c r="A1" s="11" t="s">
        <v>48</v>
      </c>
      <c r="B1" s="11" t="s">
        <v>49</v>
      </c>
      <c r="C1" s="2"/>
    </row>
    <row r="2" spans="1:3">
      <c r="A2" s="11">
        <v>110</v>
      </c>
      <c r="B2" s="11" t="s">
        <v>50</v>
      </c>
      <c r="C2" s="2"/>
    </row>
    <row r="3" spans="1:3">
      <c r="A3" s="11">
        <v>112</v>
      </c>
      <c r="B3" s="11" t="s">
        <v>51</v>
      </c>
      <c r="C3" s="2"/>
    </row>
    <row r="4" spans="1:3">
      <c r="A4" s="11">
        <v>114</v>
      </c>
      <c r="B4" s="11" t="s">
        <v>52</v>
      </c>
      <c r="C4" s="2"/>
    </row>
    <row r="5" spans="1:3">
      <c r="A5" s="11">
        <v>116</v>
      </c>
      <c r="B5" s="11" t="s">
        <v>53</v>
      </c>
      <c r="C5" s="2"/>
    </row>
    <row r="7" spans="1:3">
      <c r="A7" s="11" t="s">
        <v>48</v>
      </c>
      <c r="B7" s="10" t="s">
        <v>2</v>
      </c>
      <c r="C7" s="11" t="s">
        <v>54</v>
      </c>
    </row>
    <row r="8" spans="1:3">
      <c r="A8" s="11">
        <v>110</v>
      </c>
      <c r="B8" s="11">
        <v>1</v>
      </c>
      <c r="C8" s="11">
        <v>2</v>
      </c>
    </row>
    <row r="9" spans="1:3">
      <c r="A9" s="11">
        <v>112</v>
      </c>
      <c r="B9" s="11">
        <v>1</v>
      </c>
      <c r="C9" s="11">
        <v>10</v>
      </c>
    </row>
    <row r="10" spans="1:3">
      <c r="A10" s="11">
        <v>114</v>
      </c>
      <c r="B10" s="11">
        <v>1</v>
      </c>
      <c r="C10" s="11">
        <v>20</v>
      </c>
    </row>
    <row r="11" spans="1:3">
      <c r="A11" s="11">
        <v>116</v>
      </c>
      <c r="B11" s="11">
        <v>1</v>
      </c>
      <c r="C11" s="11">
        <v>10</v>
      </c>
    </row>
    <row r="12" spans="1:3">
      <c r="A12" s="11">
        <v>110</v>
      </c>
      <c r="B12" s="11">
        <v>2</v>
      </c>
      <c r="C12" s="11">
        <v>20</v>
      </c>
    </row>
    <row r="13" spans="1:3">
      <c r="A13" s="11">
        <v>112</v>
      </c>
      <c r="B13" s="11">
        <v>2</v>
      </c>
      <c r="C13" s="11">
        <v>20</v>
      </c>
    </row>
    <row r="14" spans="1:3">
      <c r="A14" s="11">
        <v>114</v>
      </c>
      <c r="B14" s="11">
        <v>2</v>
      </c>
      <c r="C14" s="11">
        <v>15</v>
      </c>
    </row>
    <row r="15" spans="1:3">
      <c r="A15" s="11">
        <v>116</v>
      </c>
      <c r="B15" s="11">
        <v>2</v>
      </c>
      <c r="C15" s="11">
        <v>20</v>
      </c>
    </row>
    <row r="16" spans="1:3">
      <c r="A16" s="11">
        <v>110</v>
      </c>
      <c r="B16" s="11">
        <v>3</v>
      </c>
      <c r="C16" s="11">
        <v>20</v>
      </c>
    </row>
    <row r="17" spans="1:3">
      <c r="A17" s="11">
        <v>112</v>
      </c>
      <c r="B17" s="11">
        <v>3</v>
      </c>
      <c r="C17" s="11">
        <v>15</v>
      </c>
    </row>
    <row r="18" spans="1:3">
      <c r="A18" s="11">
        <v>114</v>
      </c>
      <c r="B18" s="11">
        <v>3</v>
      </c>
      <c r="C18" s="11">
        <v>15</v>
      </c>
    </row>
    <row r="19" spans="1:3">
      <c r="A19" s="11">
        <v>116</v>
      </c>
      <c r="B19" s="11">
        <v>3</v>
      </c>
      <c r="C19" s="11">
        <v>25</v>
      </c>
    </row>
    <row r="20" spans="1:3">
      <c r="A20" s="11">
        <v>110</v>
      </c>
      <c r="B20" s="11">
        <v>4</v>
      </c>
      <c r="C20" s="11">
        <v>20</v>
      </c>
    </row>
    <row r="21" spans="1:3">
      <c r="A21" s="11">
        <v>112</v>
      </c>
      <c r="B21" s="11">
        <v>4</v>
      </c>
      <c r="C21" s="11">
        <v>20</v>
      </c>
    </row>
    <row r="22" spans="1:3">
      <c r="A22" s="11">
        <v>114</v>
      </c>
      <c r="B22" s="11">
        <v>4</v>
      </c>
      <c r="C22" s="11">
        <v>10</v>
      </c>
    </row>
    <row r="23" spans="1:3">
      <c r="A23" s="11">
        <v>116</v>
      </c>
      <c r="B23" s="11">
        <v>4</v>
      </c>
      <c r="C23" s="11">
        <v>25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oject>
  <id>O5P+SFQ10RLwXqiSNNNh+s2FuVLdTzFSy4vz0fWgt5I6VKVdTt9+Jbk6F4i9lMzH8AibR5aDEYYIb1ioiVzgp+cgW6WdLrDA-~ahSo2ZotbEtWbsS2Nqp0mg==#@#10978002#@#4/5/2021 12:43:50 AM</id>
</project>
</file>

<file path=customXml/itemProps1.xml><?xml version="1.0" encoding="utf-8"?>
<ds:datastoreItem xmlns:ds="http://schemas.openxmlformats.org/officeDocument/2006/customXml" ds:itemID="{34A30355-E915-4F21-8AC6-8AF62EEB09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Exploring Series</dc:creator>
  <cp:keywords/>
  <dc:description/>
  <cp:lastModifiedBy/>
  <cp:revision/>
  <dcterms:created xsi:type="dcterms:W3CDTF">2021-04-05T00:42:58Z</dcterms:created>
  <dcterms:modified xsi:type="dcterms:W3CDTF">2026-02-25T05:52:08Z</dcterms:modified>
  <cp:category/>
  <cp:contentStatus/>
</cp:coreProperties>
</file>